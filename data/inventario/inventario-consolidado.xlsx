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ón" sheetId="1" state="visible" r:id="rId1"/>
    <sheet xmlns:r="http://schemas.openxmlformats.org/officeDocument/2006/relationships" name="Estructura PV" sheetId="2" state="visible" r:id="rId2"/>
    <sheet xmlns:r="http://schemas.openxmlformats.org/officeDocument/2006/relationships" name="Inversores" sheetId="3" state="visible" r:id="rId3"/>
    <sheet xmlns:r="http://schemas.openxmlformats.org/officeDocument/2006/relationships" name="Cables FV" sheetId="4" state="visible" r:id="rId4"/>
    <sheet xmlns:r="http://schemas.openxmlformats.org/officeDocument/2006/relationships" name="Lotes detalle" sheetId="5" state="visible" r:id="rId5"/>
  </sheets>
  <definedNames>
    <definedName name="tc_actual">Configuración!$B$1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$#,##0.00"/>
  </numFmts>
  <fonts count="11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1A1A2E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i val="1"/>
      <color rgb="00888888"/>
      <sz val="9"/>
    </font>
    <font>
      <name val="Arial"/>
      <b val="1"/>
      <color rgb="00C00000"/>
      <sz val="12"/>
    </font>
    <font>
      <name val="Arial"/>
      <sz val="10"/>
    </font>
    <font>
      <name val="Arial"/>
      <color rgb="002E7D32"/>
      <sz val="10"/>
    </font>
    <font>
      <name val="Arial"/>
      <color rgb="00C00000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1A1A2E"/>
      </patternFill>
    </fill>
    <fill>
      <patternFill patternType="solid">
        <fgColor rgb="00FFF3CD"/>
      </patternFill>
    </fill>
    <fill>
      <patternFill patternType="solid">
        <fgColor rgb="00EAEAE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164" fontId="2" fillId="2" borderId="1" applyAlignment="1" pivotButton="0" quotePrefix="0" xfId="0">
      <alignment horizont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2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1" pivotButton="0" quotePrefix="0" xfId="0"/>
    <xf numFmtId="3" fontId="7" fillId="4" borderId="1" pivotButton="0" quotePrefix="0" xfId="0"/>
    <xf numFmtId="3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10" fillId="5" borderId="0" pivotButton="0" quotePrefix="0" xfId="0"/>
    <xf numFmtId="165" fontId="10" fillId="5" borderId="0" pivotButton="0" quotePrefix="0" xfId="0"/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Sistema</author>
  </authors>
  <commentList>
    <comment ref="C2" authorId="0" shapeId="0">
      <text>
        <t>Stock corregido por instrucción del cliente. Ver hoja 'Lotes detalle'.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5" customWidth="1" min="3" max="3"/>
    <col width="29" customWidth="1" min="4" max="4"/>
  </cols>
  <sheetData>
    <row r="1">
      <c r="A1" s="1" t="inlineStr">
        <is>
          <t>Tipo de cambio USD→MXN</t>
        </is>
      </c>
      <c r="B1" s="2" t="n">
        <v>17.253</v>
      </c>
    </row>
    <row r="2">
      <c r="A2" s="3" t="inlineStr">
        <is>
          <t>↑ Edita esta celda y todos los valores MXN del archivo se recalculan</t>
        </is>
      </c>
    </row>
    <row r="3"/>
    <row r="4">
      <c r="A4" s="1" t="inlineStr">
        <is>
          <t>Mapeo de color → empresa</t>
        </is>
      </c>
    </row>
    <row r="5">
      <c r="A5" s="3" t="inlineStr">
        <is>
          <t>En el Excel original cada lote tenía un color que indica de qué empresa salió el gasto. Llena la columna Empresa para que quede registrado:</t>
        </is>
      </c>
    </row>
    <row r="6"/>
    <row r="7" ht="32" customHeight="1">
      <c r="A7" s="4" t="inlineStr">
        <is>
          <t>Color</t>
        </is>
      </c>
      <c r="B7" s="4" t="inlineStr">
        <is>
          <t>Etiqueta</t>
        </is>
      </c>
      <c r="C7" s="4" t="inlineStr">
        <is>
          <t>Empresa (llena tú)</t>
        </is>
      </c>
      <c r="D7" s="4" t="inlineStr">
        <is>
          <t>Notas</t>
        </is>
      </c>
    </row>
    <row r="8">
      <c r="A8" s="5" t="inlineStr">
        <is>
          <t>FFFFFF00</t>
        </is>
      </c>
      <c r="B8" s="5" t="inlineStr">
        <is>
          <t>Color C (amarillo)</t>
        </is>
      </c>
      <c r="C8" s="6" t="inlineStr"/>
      <c r="D8" s="7" t="inlineStr">
        <is>
          <t>(PSE / CIAE / IED / Limson)</t>
        </is>
      </c>
    </row>
    <row r="9">
      <c r="A9" s="5" t="inlineStr">
        <is>
          <t>theme:8</t>
        </is>
      </c>
      <c r="B9" s="5" t="inlineStr">
        <is>
          <t>Color B</t>
        </is>
      </c>
      <c r="C9" s="6" t="inlineStr"/>
      <c r="D9" s="7" t="inlineStr">
        <is>
          <t>(PSE / CIAE / IED / Limson)</t>
        </is>
      </c>
    </row>
    <row r="10">
      <c r="A10" s="5" t="inlineStr">
        <is>
          <t>theme:9</t>
        </is>
      </c>
      <c r="B10" s="5" t="inlineStr">
        <is>
          <t>Color A (lote más frecuente)</t>
        </is>
      </c>
      <c r="C10" s="6" t="inlineStr"/>
      <c r="D10" s="7" t="inlineStr">
        <is>
          <t>(PSE / CIAE / IED / Limson)</t>
        </is>
      </c>
    </row>
    <row r="11"/>
    <row r="12"/>
    <row r="13">
      <c r="A13" s="8" t="inlineStr">
        <is>
          <t>⚠ POLÍTICA CONTABLE — leer antes de cargar al sistema</t>
        </is>
      </c>
    </row>
    <row r="14">
      <c r="A14" s="9" t="inlineStr">
        <is>
          <t>Estos productos fueron pagados por las empresas (PSE/CIAE/IED/Limson) y registrados</t>
        </is>
      </c>
    </row>
    <row r="15">
      <c r="A15" s="9" t="inlineStr">
        <is>
          <t>contablemente como GASTO en cada una. Eso significa:</t>
        </is>
      </c>
    </row>
    <row r="16">
      <c r="A16" s="9" t="inlineStr"/>
    </row>
    <row r="17">
      <c r="A17" s="10" t="inlineStr">
        <is>
          <t xml:space="preserve">  ✓ El gasto YA está reconocido en la contabilidad de cada empresa pagadora.</t>
        </is>
      </c>
    </row>
    <row r="18">
      <c r="A18" s="11" t="inlineStr">
        <is>
          <t xml:space="preserve">  ✗ Los productos NO están registrados como ACTIVO en ninguna contabilidad de inventario.</t>
        </is>
      </c>
    </row>
    <row r="19">
      <c r="A19" s="11" t="inlineStr">
        <is>
          <t xml:space="preserve">  ⚙ Existe stock físico real pero no hay correspondencia contable de inventario.</t>
        </is>
      </c>
    </row>
    <row r="20">
      <c r="A20" s="9" t="inlineStr"/>
    </row>
    <row r="21">
      <c r="A21" s="9" t="inlineStr">
        <is>
          <t>Por eso, al cargar este archivo al ERP:</t>
        </is>
      </c>
    </row>
    <row r="22">
      <c r="A22" s="9" t="inlineStr">
        <is>
          <t xml:space="preserve">  1. Cargar como ENTRADA al inventario del grupo (visibilidad operativa del stock real).</t>
        </is>
      </c>
    </row>
    <row r="23">
      <c r="A23" s="9" t="inlineStr">
        <is>
          <t xml:space="preserve">  2. Tipo de movimiento: 'carga_inicial' (NO 'entrada_compra' — eso implicaría OC/CFDI).</t>
        </is>
      </c>
    </row>
    <row r="24">
      <c r="A24" s="9" t="inlineStr">
        <is>
          <t xml:space="preserve">  3. NO generar OC retroactivas, NO crear CFDIs, NO afectar balances contables.</t>
        </is>
      </c>
    </row>
    <row r="25">
      <c r="A25" s="9" t="inlineStr">
        <is>
          <t xml:space="preserve">  4. Etiquetar cada lote con la empresa que pagó (vía mapeo de color de arriba) en</t>
        </is>
      </c>
    </row>
    <row r="26">
      <c r="A26" s="9" t="inlineStr">
        <is>
          <t xml:space="preserve">     observaciones del movimiento, para trazabilidad.</t>
        </is>
      </c>
    </row>
    <row r="27">
      <c r="A27" s="9" t="inlineStr">
        <is>
          <t xml:space="preserve">  5. Dejar para CONTROL la decisión posterior de cómo conciliar (capitalizar el activo,</t>
        </is>
      </c>
    </row>
    <row r="28">
      <c r="A28" s="9" t="inlineStr">
        <is>
          <t xml:space="preserve">     reclasificar el gasto, dejarlo como está, etc.)</t>
        </is>
      </c>
    </row>
    <row r="29"/>
    <row r="30">
      <c r="A30" s="1" t="inlineStr">
        <is>
          <t>Notas técnicas</t>
        </is>
      </c>
    </row>
    <row r="31">
      <c r="A31" s="9" t="inlineStr">
        <is>
          <t>• Los costos de este archivo NO son los de hoy — son históricos al momento de la compra.</t>
        </is>
      </c>
    </row>
    <row r="32">
      <c r="A32" s="9" t="inlineStr">
        <is>
          <t>• El TC en B1 actualiza todos los valores MXN del archivo (fórmulas dinámicas).</t>
        </is>
      </c>
    </row>
    <row r="33">
      <c r="A33" s="9" t="inlineStr">
        <is>
          <t>• Hoja1 original tenía 38 filas con varias compras del mismo SKU. Se consolidan a un</t>
        </is>
      </c>
    </row>
    <row r="34">
      <c r="A34" s="9" t="inlineStr">
        <is>
          <t xml:space="preserve">  SKU único pero cada compra original queda preservada en hoja 'Lotes detalle'.</t>
        </is>
      </c>
    </row>
    <row r="35">
      <c r="A35" s="9" t="inlineStr">
        <is>
          <t>• Sheet1 original usaba la marca como CODIGO. Se generaron códigos únicos combinando</t>
        </is>
      </c>
    </row>
    <row r="36">
      <c r="A36" s="9" t="inlineStr">
        <is>
          <t xml:space="preserve">  marca + modelo (ej: "GROWAT-MAC15KTL3").</t>
        </is>
      </c>
    </row>
    <row r="37">
      <c r="A37" s="9" t="inlineStr">
        <is>
          <t>• Inversores con stock=0 se mantienen en el catálogo para histórico de movimientos.</t>
        </is>
      </c>
    </row>
    <row r="38">
      <c r="A38" s="9" t="inlineStr">
        <is>
          <t>• Typo corregido: NXT-TBM8x25-5 → NXT-TB-M8X25-5.</t>
        </is>
      </c>
    </row>
    <row r="39">
      <c r="A39" s="9" t="inlineStr">
        <is>
          <t>• JA-M66D45-620/LB corregido: 15 → 1546 paneles (cliente confirmó error de captura).</t>
        </is>
      </c>
    </row>
  </sheetData>
  <mergeCells count="17">
    <mergeCell ref="A5:D5"/>
    <mergeCell ref="A17:D17"/>
    <mergeCell ref="A18:D18"/>
    <mergeCell ref="A23:D23"/>
    <mergeCell ref="A27:D27"/>
    <mergeCell ref="A22:D22"/>
    <mergeCell ref="A20:D20"/>
    <mergeCell ref="A21:D21"/>
    <mergeCell ref="A26:D26"/>
    <mergeCell ref="A15:D15"/>
    <mergeCell ref="A25:D25"/>
    <mergeCell ref="A24:D24"/>
    <mergeCell ref="A16:D16"/>
    <mergeCell ref="A2:D2"/>
    <mergeCell ref="A19:D19"/>
    <mergeCell ref="A28:D28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17" customWidth="1" min="8" max="8"/>
  </cols>
  <sheetData>
    <row r="1" ht="32" customHeight="1">
      <c r="A1" s="4" t="inlineStr">
        <is>
          <t>Código</t>
        </is>
      </c>
      <c r="B1" s="4" t="inlineStr">
        <is>
          <t>Descripción</t>
        </is>
      </c>
      <c r="C1" s="4" t="inlineStr">
        <is>
          <t>Stock</t>
        </is>
      </c>
      <c r="D1" s="4" t="inlineStr">
        <is>
          <t># Lotes</t>
        </is>
      </c>
      <c r="E1" s="4" t="inlineStr">
        <is>
          <t># Empresas</t>
        </is>
      </c>
      <c r="F1" s="4" t="inlineStr">
        <is>
          <t>Precio prom. USD</t>
        </is>
      </c>
      <c r="G1" s="4" t="inlineStr">
        <is>
          <t>Valor total USD</t>
        </is>
      </c>
      <c r="H1" s="4" t="inlineStr">
        <is>
          <t>Valor total MXN</t>
        </is>
      </c>
    </row>
    <row r="2">
      <c r="A2" s="12" t="inlineStr">
        <is>
          <t>JA-M66D45-620/LB</t>
        </is>
      </c>
      <c r="B2" s="12" t="inlineStr">
        <is>
          <t>Panel Solar JA Solar N-Type Double Glass Bifacialde 620W</t>
        </is>
      </c>
      <c r="C2" s="13" t="n">
        <v>1546</v>
      </c>
      <c r="D2" s="14" t="n">
        <v>1</v>
      </c>
      <c r="E2" s="14" t="n">
        <v>1</v>
      </c>
      <c r="F2" s="15" t="n">
        <v>76.88</v>
      </c>
      <c r="G2" s="16">
        <f>C2*F2</f>
        <v/>
      </c>
      <c r="H2" s="16">
        <f>G2*tc_actual</f>
        <v/>
      </c>
    </row>
    <row r="3">
      <c r="A3" s="12" t="inlineStr">
        <is>
          <t>NXT-AR-4000</t>
        </is>
      </c>
      <c r="B3" s="12" t="inlineStr">
        <is>
          <t>Ángulo-Riel 4.0m, Alu 6105-T6</t>
        </is>
      </c>
      <c r="C3" s="14" t="n">
        <v>450</v>
      </c>
      <c r="D3" s="14" t="n">
        <v>3</v>
      </c>
      <c r="E3" s="14" t="n">
        <v>3</v>
      </c>
      <c r="F3" s="15" t="n">
        <v>25.25</v>
      </c>
      <c r="G3" s="16">
        <f>C3*F3</f>
        <v/>
      </c>
      <c r="H3" s="16">
        <f>G3*tc_actual</f>
        <v/>
      </c>
    </row>
    <row r="4">
      <c r="A4" s="12" t="inlineStr">
        <is>
          <t>NXT-AUA-30/46-2</t>
        </is>
      </c>
      <c r="B4" s="12" t="inlineStr">
        <is>
          <t>2 Abrazaderas universales de Aluminio para paneles de 30-46mm</t>
        </is>
      </c>
      <c r="C4" s="14" t="n">
        <v>3045</v>
      </c>
      <c r="D4" s="14" t="n">
        <v>4</v>
      </c>
      <c r="E4" s="14" t="n">
        <v>3</v>
      </c>
      <c r="F4" s="15" t="n">
        <v>3.9879</v>
      </c>
      <c r="G4" s="16">
        <f>C4*F4</f>
        <v/>
      </c>
      <c r="H4" s="16">
        <f>G4*tc_actual</f>
        <v/>
      </c>
    </row>
    <row r="5">
      <c r="A5" s="12" t="inlineStr">
        <is>
          <t>NXT-CRC-4</t>
        </is>
      </c>
      <c r="B5" s="12" t="inlineStr">
        <is>
          <t>4 Clips de conexión para Next Rail</t>
        </is>
      </c>
      <c r="C5" s="14" t="n">
        <v>1440</v>
      </c>
      <c r="D5" s="14" t="n">
        <v>3</v>
      </c>
      <c r="E5" s="14" t="n">
        <v>3</v>
      </c>
      <c r="F5" s="15" t="n">
        <v>6.05</v>
      </c>
      <c r="G5" s="16">
        <f>C5*F5</f>
        <v/>
      </c>
      <c r="H5" s="16">
        <f>G5*tc_actual</f>
        <v/>
      </c>
    </row>
    <row r="6">
      <c r="A6" s="12" t="inlineStr">
        <is>
          <t>NXT-GC-1-UL</t>
        </is>
      </c>
      <c r="B6" s="12" t="inlineStr">
        <is>
          <t>Terminal de conexión a tierra para 2 cables, Next Rail con certificiación UL.</t>
        </is>
      </c>
      <c r="C6" s="14" t="n">
        <v>950</v>
      </c>
      <c r="D6" s="14" t="n">
        <v>4</v>
      </c>
      <c r="E6" s="14" t="n">
        <v>3</v>
      </c>
      <c r="F6" s="15" t="n">
        <v>2.19</v>
      </c>
      <c r="G6" s="16">
        <f>C6*F6</f>
        <v/>
      </c>
      <c r="H6" s="16">
        <f>G6*tc_actual</f>
        <v/>
      </c>
    </row>
    <row r="7">
      <c r="A7" s="12" t="inlineStr">
        <is>
          <t>NXT-LFOOT</t>
        </is>
      </c>
      <c r="B7" s="12" t="inlineStr">
        <is>
          <t>1 Soporte "L" de 95 mm de altura para Nxt-Rail</t>
        </is>
      </c>
      <c r="C7" s="14" t="n">
        <v>645</v>
      </c>
      <c r="D7" s="14" t="n">
        <v>4</v>
      </c>
      <c r="E7" s="14" t="n">
        <v>3</v>
      </c>
      <c r="F7" s="15" t="n">
        <v>2.1751</v>
      </c>
      <c r="G7" s="16">
        <f>C7*F7</f>
        <v/>
      </c>
      <c r="H7" s="16">
        <f>G7*tc_actual</f>
        <v/>
      </c>
    </row>
    <row r="8">
      <c r="A8" s="12" t="inlineStr">
        <is>
          <t>NXT-RS</t>
        </is>
      </c>
      <c r="B8" s="12" t="inlineStr">
        <is>
          <t>1 empalme de riel con puesta a tierra para Next Rail NXT-RX.</t>
        </is>
      </c>
      <c r="C8" s="14" t="n">
        <v>1215</v>
      </c>
      <c r="D8" s="14" t="n">
        <v>4</v>
      </c>
      <c r="E8" s="14" t="n">
        <v>3</v>
      </c>
      <c r="F8" s="15" t="n">
        <v>2.7874</v>
      </c>
      <c r="G8" s="16">
        <f>C8*F8</f>
        <v/>
      </c>
      <c r="H8" s="16">
        <f>G8*tc_actual</f>
        <v/>
      </c>
    </row>
    <row r="9">
      <c r="A9" s="12" t="inlineStr">
        <is>
          <t>NXT-RX-4800-MILL</t>
        </is>
      </c>
      <c r="B9" s="12" t="inlineStr">
        <is>
          <t>Perfil NetRail 4.80m, mill finish, Aluminio 6105-T6</t>
        </is>
      </c>
      <c r="C9" s="14" t="n">
        <v>1120</v>
      </c>
      <c r="D9" s="14" t="n">
        <v>4</v>
      </c>
      <c r="E9" s="14" t="n">
        <v>3</v>
      </c>
      <c r="F9" s="15" t="n">
        <v>25.5953</v>
      </c>
      <c r="G9" s="16">
        <f>C9*F9</f>
        <v/>
      </c>
      <c r="H9" s="16">
        <f>G9*tc_actual</f>
        <v/>
      </c>
    </row>
    <row r="10">
      <c r="A10" s="12" t="inlineStr">
        <is>
          <t>NXT-TB-M8X25-5</t>
        </is>
      </c>
      <c r="B10" s="12" t="inlineStr">
        <is>
          <t>5 Tbolt M8x25 Acero Inoxidable con tuerca para NextRail</t>
        </is>
      </c>
      <c r="C10" s="14" t="n">
        <v>1500</v>
      </c>
      <c r="D10" s="14" t="n">
        <v>3</v>
      </c>
      <c r="E10" s="14" t="n">
        <v>3</v>
      </c>
      <c r="F10" s="15" t="n">
        <v>2.47</v>
      </c>
      <c r="G10" s="16">
        <f>C10*F10</f>
        <v/>
      </c>
      <c r="H10" s="16">
        <f>G10*tc_actual</f>
        <v/>
      </c>
    </row>
    <row r="11">
      <c r="A11" s="12" t="inlineStr">
        <is>
          <t>NXT-TILT</t>
        </is>
      </c>
      <c r="B11" s="12" t="inlineStr">
        <is>
          <t>1 Conector para riel inclinado</t>
        </is>
      </c>
      <c r="C11" s="14" t="n">
        <v>1215</v>
      </c>
      <c r="D11" s="14" t="n">
        <v>4</v>
      </c>
      <c r="E11" s="14" t="n">
        <v>3</v>
      </c>
      <c r="F11" s="15" t="n">
        <v>3.1748</v>
      </c>
      <c r="G11" s="16">
        <f>C11*F11</f>
        <v/>
      </c>
      <c r="H11" s="16">
        <f>G11*tc_actual</f>
        <v/>
      </c>
    </row>
    <row r="12">
      <c r="A12" s="12" t="inlineStr">
        <is>
          <t>PV-10PC10-1500</t>
        </is>
      </c>
      <c r="B12" s="12" t="inlineStr">
        <is>
          <t>10 Conectores MC4, 5 Hembras y 5 Macho cable 14-10AWG, 1500 Vdc</t>
        </is>
      </c>
      <c r="C12" s="14" t="n">
        <v>150</v>
      </c>
      <c r="D12" s="14" t="n">
        <v>1</v>
      </c>
      <c r="E12" s="14" t="n">
        <v>1</v>
      </c>
      <c r="F12" s="15" t="n">
        <v>5.56</v>
      </c>
      <c r="G12" s="16">
        <f>C12*F12</f>
        <v/>
      </c>
      <c r="H12" s="16">
        <f>G12*tc_actual</f>
        <v/>
      </c>
    </row>
    <row r="13">
      <c r="A13" s="12" t="inlineStr">
        <is>
          <t>PV-C10-762M-BC</t>
        </is>
      </c>
      <c r="B13" s="12" t="inlineStr">
        <is>
          <t>Cable Fotovoltaico negro PV Wire carrete 762 mts 10AWG 2000V De 19 hilos</t>
        </is>
      </c>
      <c r="C13" s="14" t="n">
        <v>14</v>
      </c>
      <c r="D13" s="14" t="n">
        <v>2</v>
      </c>
      <c r="E13" s="14" t="n">
        <v>2</v>
      </c>
      <c r="F13" s="15" t="n">
        <v>612.8200000000001</v>
      </c>
      <c r="G13" s="16">
        <f>C13*F13</f>
        <v/>
      </c>
      <c r="H13" s="16">
        <f>G13*tc_actual</f>
        <v/>
      </c>
    </row>
    <row r="14">
      <c r="A14" s="12" t="inlineStr">
        <is>
          <t>PV-C12-762M-BC</t>
        </is>
      </c>
      <c r="B14" s="12" t="inlineStr">
        <is>
          <t>Cable Fotovoltaico Negro PV wire carrete 762 mts 12AWG 2000V de 19 hilos</t>
        </is>
      </c>
      <c r="C14" s="14" t="n">
        <v>20</v>
      </c>
      <c r="D14" s="14" t="n">
        <v>2</v>
      </c>
      <c r="E14" s="14" t="n">
        <v>2</v>
      </c>
      <c r="F14" s="15" t="n">
        <v>421.81</v>
      </c>
      <c r="G14" s="16">
        <f>C14*F14</f>
        <v/>
      </c>
      <c r="H14" s="16">
        <f>G14*tc_actual</f>
        <v/>
      </c>
    </row>
    <row r="15">
      <c r="A15" s="17" t="n"/>
      <c r="B15" s="17" t="inlineStr">
        <is>
          <t>TOTAL</t>
        </is>
      </c>
      <c r="C15" s="17" t="n"/>
      <c r="D15" s="17" t="n"/>
      <c r="E15" s="17" t="n"/>
      <c r="F15" s="17" t="n"/>
      <c r="G15" s="18">
        <f>SUM(G2:G14)</f>
        <v/>
      </c>
      <c r="H15" s="18">
        <f>SUM(H2:H14)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36" customWidth="1" min="3" max="3"/>
    <col width="18" customWidth="1" min="4" max="4"/>
    <col width="12" customWidth="1" min="5" max="5"/>
    <col width="15" customWidth="1" min="6" max="6"/>
    <col width="12" customWidth="1" min="7" max="7"/>
    <col width="12" customWidth="1" min="8" max="8"/>
    <col width="14" customWidth="1" min="9" max="9"/>
    <col width="14" customWidth="1" min="10" max="10"/>
    <col width="18" customWidth="1" min="11" max="11"/>
    <col width="17" customWidth="1" min="12" max="12"/>
    <col width="17" customWidth="1" min="13" max="13"/>
  </cols>
  <sheetData>
    <row r="1" ht="32" customHeight="1">
      <c r="A1" s="4" t="inlineStr">
        <is>
          <t>Código</t>
        </is>
      </c>
      <c r="B1" s="4" t="inlineStr">
        <is>
          <t>Marca</t>
        </is>
      </c>
      <c r="C1" s="4" t="inlineStr">
        <is>
          <t>Descripción</t>
        </is>
      </c>
      <c r="D1" s="4" t="inlineStr">
        <is>
          <t>Categoría</t>
        </is>
      </c>
      <c r="E1" s="4" t="inlineStr">
        <is>
          <t>Capacidad</t>
        </is>
      </c>
      <c r="F1" s="4" t="inlineStr">
        <is>
          <t>Stock inicial</t>
        </is>
      </c>
      <c r="G1" s="4" t="inlineStr">
        <is>
          <t>Entrada</t>
        </is>
      </c>
      <c r="H1" s="4" t="inlineStr">
        <is>
          <t>Salida</t>
        </is>
      </c>
      <c r="I1" s="4" t="inlineStr">
        <is>
          <t>Stock actual</t>
        </is>
      </c>
      <c r="J1" s="4" t="inlineStr">
        <is>
          <t>Precio/W USD</t>
        </is>
      </c>
      <c r="K1" s="4" t="inlineStr">
        <is>
          <t>Precio unit. USD</t>
        </is>
      </c>
      <c r="L1" s="4" t="inlineStr">
        <is>
          <t>Valor total USD</t>
        </is>
      </c>
      <c r="M1" s="4" t="inlineStr">
        <is>
          <t>Valor total MXN</t>
        </is>
      </c>
    </row>
    <row r="2">
      <c r="A2" s="12" t="inlineStr">
        <is>
          <t>APSYST-APSBUSCABLECAL10</t>
        </is>
      </c>
      <c r="B2" s="12" t="inlineStr">
        <is>
          <t>APSYSTEMS</t>
        </is>
      </c>
      <c r="C2" s="12" t="inlineStr">
        <is>
          <t>APS-BUS CABLE CAL 10</t>
        </is>
      </c>
      <c r="D2" s="12" t="inlineStr">
        <is>
          <t>accesorio</t>
        </is>
      </c>
      <c r="E2" s="12" t="inlineStr">
        <is>
          <t>CAL 10</t>
        </is>
      </c>
      <c r="F2" s="14" t="n">
        <v>0</v>
      </c>
      <c r="G2" s="14" t="n">
        <v>256</v>
      </c>
      <c r="H2" s="14" t="n">
        <v>206</v>
      </c>
      <c r="I2" s="14">
        <f>F2+G2-H2</f>
        <v/>
      </c>
      <c r="J2" s="15" t="n"/>
      <c r="K2" s="16" t="n">
        <v>26.28</v>
      </c>
      <c r="L2" s="16">
        <f>I2*K2</f>
        <v/>
      </c>
      <c r="M2" s="16">
        <f>L2*tc_actual</f>
        <v/>
      </c>
    </row>
    <row r="3">
      <c r="A3" s="12" t="inlineStr">
        <is>
          <t>APSYST-APSDS3D2000W</t>
        </is>
      </c>
      <c r="B3" s="12" t="inlineStr">
        <is>
          <t>APSYSTEMS</t>
        </is>
      </c>
      <c r="C3" s="12" t="inlineStr">
        <is>
          <t>APS DS3D-2000W</t>
        </is>
      </c>
      <c r="D3" s="12" t="inlineStr">
        <is>
          <t>inversor</t>
        </is>
      </c>
      <c r="E3" s="12" t="inlineStr">
        <is>
          <t>2 kW</t>
        </is>
      </c>
      <c r="F3" s="14" t="n">
        <v>0</v>
      </c>
      <c r="G3" s="14" t="n">
        <v>16</v>
      </c>
      <c r="H3" s="14" t="n">
        <v>16</v>
      </c>
      <c r="I3" s="14">
        <f>F3+G3-H3</f>
        <v/>
      </c>
      <c r="J3" s="15" t="n"/>
      <c r="K3" s="16" t="n">
        <v>0</v>
      </c>
      <c r="L3" s="16">
        <f>I3*K3</f>
        <v/>
      </c>
      <c r="M3" s="16">
        <f>L3*tc_actual</f>
        <v/>
      </c>
    </row>
    <row r="4">
      <c r="A4" s="12" t="inlineStr">
        <is>
          <t>APSYST-APSECURSISTEMADEMONI</t>
        </is>
      </c>
      <c r="B4" s="12" t="inlineStr">
        <is>
          <t>APSYSTEMS</t>
        </is>
      </c>
      <c r="C4" s="12" t="inlineStr">
        <is>
          <t>APS-ECU-R SISTEMA DE MONITOREO</t>
        </is>
      </c>
      <c r="D4" s="12" t="inlineStr">
        <is>
          <t>monitoreo</t>
        </is>
      </c>
      <c r="E4" s="12" t="inlineStr">
        <is>
          <t>PARA 100</t>
        </is>
      </c>
      <c r="F4" s="14" t="n">
        <v>0</v>
      </c>
      <c r="G4" s="14" t="n">
        <v>73</v>
      </c>
      <c r="H4" s="14" t="n">
        <v>54</v>
      </c>
      <c r="I4" s="14">
        <f>F4+G4-H4</f>
        <v/>
      </c>
      <c r="J4" s="15" t="n"/>
      <c r="K4" s="16" t="n">
        <v>141.16</v>
      </c>
      <c r="L4" s="16">
        <f>I4*K4</f>
        <v/>
      </c>
      <c r="M4" s="16">
        <f>L4*tc_actual</f>
        <v/>
      </c>
    </row>
    <row r="5">
      <c r="A5" s="12" t="inlineStr">
        <is>
          <t>APSYST-APSENDCAPTAPAEXTREMA</t>
        </is>
      </c>
      <c r="B5" s="12" t="inlineStr">
        <is>
          <t>APSYSTEMS</t>
        </is>
      </c>
      <c r="C5" s="12" t="inlineStr">
        <is>
          <t>APS-ENDCAP TAPA EXTREMA FINAL</t>
        </is>
      </c>
      <c r="D5" s="12" t="inlineStr">
        <is>
          <t>accesorio</t>
        </is>
      </c>
      <c r="E5" s="12" t="inlineStr">
        <is>
          <t>CAL 10</t>
        </is>
      </c>
      <c r="F5" s="14" t="n">
        <v>0</v>
      </c>
      <c r="G5" s="14" t="n">
        <v>150</v>
      </c>
      <c r="H5" s="14" t="n">
        <v>82</v>
      </c>
      <c r="I5" s="14">
        <f>F5+G5-H5</f>
        <v/>
      </c>
      <c r="J5" s="15" t="n"/>
      <c r="K5" s="16" t="n">
        <v>5.77</v>
      </c>
      <c r="L5" s="16">
        <f>I5*K5</f>
        <v/>
      </c>
      <c r="M5" s="16">
        <f>L5*tc_actual</f>
        <v/>
      </c>
    </row>
    <row r="6">
      <c r="A6" s="12" t="inlineStr">
        <is>
          <t>APSYST-MICROINVERSORAPSDS3D</t>
        </is>
      </c>
      <c r="B6" s="12" t="inlineStr">
        <is>
          <t>APSYSTEMS</t>
        </is>
      </c>
      <c r="C6" s="12" t="inlineStr">
        <is>
          <t>MICROINVERSOR APS-DS3D-2000W-220V</t>
        </is>
      </c>
      <c r="D6" s="12" t="inlineStr">
        <is>
          <t>microinversor</t>
        </is>
      </c>
      <c r="E6" s="12" t="inlineStr">
        <is>
          <t>2 kW</t>
        </is>
      </c>
      <c r="F6" s="14" t="n">
        <v>0</v>
      </c>
      <c r="G6" s="14" t="n">
        <v>186</v>
      </c>
      <c r="H6" s="14" t="n">
        <v>184</v>
      </c>
      <c r="I6" s="14">
        <f>F6+G6-H6</f>
        <v/>
      </c>
      <c r="J6" s="15" t="n">
        <v>0.1286</v>
      </c>
      <c r="K6" s="16" t="n">
        <v>257.24</v>
      </c>
      <c r="L6" s="16">
        <f>I6*K6</f>
        <v/>
      </c>
      <c r="M6" s="16">
        <f>L6*tc_actual</f>
        <v/>
      </c>
    </row>
    <row r="7">
      <c r="A7" s="12" t="inlineStr">
        <is>
          <t>APSYST-MICROINVERSORAPSDS3H</t>
        </is>
      </c>
      <c r="B7" s="12" t="inlineStr">
        <is>
          <t>APSYSTEMS</t>
        </is>
      </c>
      <c r="C7" s="12" t="inlineStr">
        <is>
          <t>MICROINVERSOR APS-DS3-H-1050W-220V</t>
        </is>
      </c>
      <c r="D7" s="12" t="inlineStr">
        <is>
          <t>microinversor</t>
        </is>
      </c>
      <c r="E7" s="12" t="inlineStr">
        <is>
          <t>1.05 kW</t>
        </is>
      </c>
      <c r="F7" s="14" t="n">
        <v>0</v>
      </c>
      <c r="G7" s="14" t="n">
        <v>76</v>
      </c>
      <c r="H7" s="14" t="n">
        <v>25</v>
      </c>
      <c r="I7" s="14">
        <f>F7+G7-H7</f>
        <v/>
      </c>
      <c r="J7" s="15" t="n">
        <v>0.1835</v>
      </c>
      <c r="K7" s="16" t="n">
        <v>192.67</v>
      </c>
      <c r="L7" s="16">
        <f>I7*K7</f>
        <v/>
      </c>
      <c r="M7" s="16">
        <f>L7*tc_actual</f>
        <v/>
      </c>
    </row>
    <row r="8">
      <c r="A8" s="12" t="inlineStr">
        <is>
          <t>CANADI-INVERSORCSI3K</t>
        </is>
      </c>
      <c r="B8" s="12" t="inlineStr">
        <is>
          <t>CANADIAN SOLAR</t>
        </is>
      </c>
      <c r="C8" s="12" t="inlineStr">
        <is>
          <t>Inversor CSI 3K</t>
        </is>
      </c>
      <c r="D8" s="12" t="inlineStr">
        <is>
          <t>inversor</t>
        </is>
      </c>
      <c r="E8" s="12" t="inlineStr">
        <is>
          <t>3 kW</t>
        </is>
      </c>
      <c r="F8" s="14" t="n">
        <v>0</v>
      </c>
      <c r="G8" s="14" t="n">
        <v>3</v>
      </c>
      <c r="H8" s="14" t="n">
        <v>3</v>
      </c>
      <c r="I8" s="14">
        <f>F8+G8-H8</f>
        <v/>
      </c>
      <c r="J8" s="15" t="n">
        <v>0.125</v>
      </c>
      <c r="K8" s="16" t="n">
        <v>375</v>
      </c>
      <c r="L8" s="16">
        <f>I8*K8</f>
        <v/>
      </c>
      <c r="M8" s="16">
        <f>L8*tc_actual</f>
        <v/>
      </c>
    </row>
    <row r="9">
      <c r="A9" s="12" t="inlineStr">
        <is>
          <t>CANADI-INVERSORCSI5K</t>
        </is>
      </c>
      <c r="B9" s="12" t="inlineStr">
        <is>
          <t>CANADIAN SOLAR</t>
        </is>
      </c>
      <c r="C9" s="12" t="inlineStr">
        <is>
          <t>Inversor CSI 5K</t>
        </is>
      </c>
      <c r="D9" s="12" t="inlineStr">
        <is>
          <t>inversor</t>
        </is>
      </c>
      <c r="E9" s="12" t="inlineStr">
        <is>
          <t>5 kW</t>
        </is>
      </c>
      <c r="F9" s="14" t="n">
        <v>0</v>
      </c>
      <c r="G9" s="14" t="n">
        <v>3</v>
      </c>
      <c r="H9" s="14" t="n">
        <v>3</v>
      </c>
      <c r="I9" s="14">
        <f>F9+G9-H9</f>
        <v/>
      </c>
      <c r="J9" s="15" t="n">
        <v>0.1033</v>
      </c>
      <c r="K9" s="16" t="n">
        <v>516.4</v>
      </c>
      <c r="L9" s="16">
        <f>I9*K9</f>
        <v/>
      </c>
      <c r="M9" s="16">
        <f>L9*tc_actual</f>
        <v/>
      </c>
    </row>
    <row r="10">
      <c r="A10" s="12" t="inlineStr">
        <is>
          <t>CANADI-INVERSORCSI7K</t>
        </is>
      </c>
      <c r="B10" s="12" t="inlineStr">
        <is>
          <t>CANADIAN SOLAR</t>
        </is>
      </c>
      <c r="C10" s="12" t="inlineStr">
        <is>
          <t>Inversor CSI 7K</t>
        </is>
      </c>
      <c r="D10" s="12" t="inlineStr">
        <is>
          <t>inversor</t>
        </is>
      </c>
      <c r="E10" s="12" t="inlineStr">
        <is>
          <t>7 kW</t>
        </is>
      </c>
      <c r="F10" s="14" t="n">
        <v>0</v>
      </c>
      <c r="G10" s="14" t="n">
        <v>3</v>
      </c>
      <c r="H10" s="14" t="n">
        <v>3</v>
      </c>
      <c r="I10" s="14">
        <f>F10+G10-H10</f>
        <v/>
      </c>
      <c r="J10" s="15" t="n">
        <v>0.1093</v>
      </c>
      <c r="K10" s="16" t="n">
        <v>765.35</v>
      </c>
      <c r="L10" s="16">
        <f>I10*K10</f>
        <v/>
      </c>
      <c r="M10" s="16">
        <f>L10*tc_actual</f>
        <v/>
      </c>
    </row>
    <row r="11">
      <c r="A11" s="12" t="inlineStr">
        <is>
          <t>CANADI-INVERSORCSI9K</t>
        </is>
      </c>
      <c r="B11" s="12" t="inlineStr">
        <is>
          <t>CANADIAN SOLAR</t>
        </is>
      </c>
      <c r="C11" s="12" t="inlineStr">
        <is>
          <t>Inversor CSI 9K</t>
        </is>
      </c>
      <c r="D11" s="12" t="inlineStr">
        <is>
          <t>inversor</t>
        </is>
      </c>
      <c r="E11" s="12" t="inlineStr">
        <is>
          <t>9 kW</t>
        </is>
      </c>
      <c r="F11" s="14" t="n">
        <v>0</v>
      </c>
      <c r="G11" s="14" t="n">
        <v>3</v>
      </c>
      <c r="H11" s="14" t="n">
        <v>1</v>
      </c>
      <c r="I11" s="14">
        <f>F11+G11-H11</f>
        <v/>
      </c>
      <c r="J11" s="15" t="n">
        <v>0.093</v>
      </c>
      <c r="K11" s="16" t="n">
        <v>836.73</v>
      </c>
      <c r="L11" s="16">
        <f>I11*K11</f>
        <v/>
      </c>
      <c r="M11" s="16">
        <f>L11*tc_actual</f>
        <v/>
      </c>
    </row>
    <row r="12">
      <c r="A12" s="12" t="inlineStr">
        <is>
          <t>GOODWE-8.5KW</t>
        </is>
      </c>
      <c r="B12" s="12" t="inlineStr">
        <is>
          <t>GOODWE</t>
        </is>
      </c>
      <c r="C12" s="12" t="inlineStr">
        <is>
          <t>GOODWE 8.5 kW</t>
        </is>
      </c>
      <c r="D12" s="12" t="inlineStr">
        <is>
          <t>inversor</t>
        </is>
      </c>
      <c r="E12" s="12" t="inlineStr">
        <is>
          <t>8.5 kW</t>
        </is>
      </c>
      <c r="F12" s="14" t="n">
        <v>1</v>
      </c>
      <c r="G12" s="14" t="n">
        <v>0</v>
      </c>
      <c r="H12" s="14" t="n">
        <v>0</v>
      </c>
      <c r="I12" s="14">
        <f>F12+G12-H12</f>
        <v/>
      </c>
      <c r="J12" s="15" t="n">
        <v>0.1024</v>
      </c>
      <c r="K12" s="16" t="n">
        <v>870</v>
      </c>
      <c r="L12" s="16">
        <f>I12*K12</f>
        <v/>
      </c>
      <c r="M12" s="16">
        <f>L12*tc_actual</f>
        <v/>
      </c>
    </row>
    <row r="13">
      <c r="A13" s="12" t="inlineStr">
        <is>
          <t>GOODWE-MSUS11.4KW3MPPT</t>
        </is>
      </c>
      <c r="B13" s="12" t="inlineStr">
        <is>
          <t>GOODWE</t>
        </is>
      </c>
      <c r="C13" s="12" t="inlineStr">
        <is>
          <t>MS-US 11.4 KW 3 MPPT</t>
        </is>
      </c>
      <c r="D13" s="12" t="inlineStr">
        <is>
          <t>inversor</t>
        </is>
      </c>
      <c r="E13" s="12" t="inlineStr">
        <is>
          <t>11.4 kW</t>
        </is>
      </c>
      <c r="F13" s="14" t="n">
        <v>0</v>
      </c>
      <c r="G13" s="14" t="n">
        <v>3</v>
      </c>
      <c r="H13" s="14" t="n">
        <v>1</v>
      </c>
      <c r="I13" s="14">
        <f>F13+G13-H13</f>
        <v/>
      </c>
      <c r="J13" s="15" t="n">
        <v>0.0876</v>
      </c>
      <c r="K13" s="16" t="n">
        <v>999</v>
      </c>
      <c r="L13" s="16">
        <f>I13*K13</f>
        <v/>
      </c>
      <c r="M13" s="16">
        <f>L13*tc_actual</f>
        <v/>
      </c>
    </row>
    <row r="14">
      <c r="A14" s="12" t="inlineStr">
        <is>
          <t>GOODWE-MSUS5KW2MPPT</t>
        </is>
      </c>
      <c r="B14" s="12" t="inlineStr">
        <is>
          <t>GOODWE</t>
        </is>
      </c>
      <c r="C14" s="12" t="inlineStr">
        <is>
          <t>MS-US 5 KW 2 MPPT</t>
        </is>
      </c>
      <c r="D14" s="12" t="inlineStr">
        <is>
          <t>inversor</t>
        </is>
      </c>
      <c r="E14" s="12" t="inlineStr">
        <is>
          <t>5 kW</t>
        </is>
      </c>
      <c r="F14" s="14" t="n">
        <v>0</v>
      </c>
      <c r="G14" s="14" t="n">
        <v>2</v>
      </c>
      <c r="H14" s="14" t="n">
        <v>2</v>
      </c>
      <c r="I14" s="14">
        <f>F14+G14-H14</f>
        <v/>
      </c>
      <c r="J14" s="15" t="n">
        <v>0.135</v>
      </c>
      <c r="K14" s="16" t="n">
        <v>675</v>
      </c>
      <c r="L14" s="16">
        <f>I14*K14</f>
        <v/>
      </c>
      <c r="M14" s="16">
        <f>L14*tc_actual</f>
        <v/>
      </c>
    </row>
    <row r="15">
      <c r="A15" s="12" t="inlineStr">
        <is>
          <t>GOODWE-MSUS6KW2MPPT</t>
        </is>
      </c>
      <c r="B15" s="12" t="inlineStr">
        <is>
          <t>GOODWE</t>
        </is>
      </c>
      <c r="C15" s="12" t="inlineStr">
        <is>
          <t>MS-US 6 KW 2 MPPT</t>
        </is>
      </c>
      <c r="D15" s="12" t="inlineStr">
        <is>
          <t>inversor</t>
        </is>
      </c>
      <c r="E15" s="12" t="inlineStr">
        <is>
          <t>6 kW</t>
        </is>
      </c>
      <c r="F15" s="14" t="n">
        <v>0</v>
      </c>
      <c r="G15" s="14" t="n">
        <v>6</v>
      </c>
      <c r="H15" s="14" t="n">
        <v>5</v>
      </c>
      <c r="I15" s="14">
        <f>F15+G15-H15</f>
        <v/>
      </c>
      <c r="J15" s="15" t="n">
        <v>0.1175</v>
      </c>
      <c r="K15" s="16" t="n">
        <v>705</v>
      </c>
      <c r="L15" s="16">
        <f>I15*K15</f>
        <v/>
      </c>
      <c r="M15" s="16">
        <f>L15*tc_actual</f>
        <v/>
      </c>
    </row>
    <row r="16">
      <c r="A16" s="12" t="inlineStr">
        <is>
          <t>GOODWE-MSUS7.6KW2MPPT</t>
        </is>
      </c>
      <c r="B16" s="12" t="inlineStr">
        <is>
          <t>GOODWE</t>
        </is>
      </c>
      <c r="C16" s="12" t="inlineStr">
        <is>
          <t>MS-US 7.6 KW 2 MPPT</t>
        </is>
      </c>
      <c r="D16" s="12" t="inlineStr">
        <is>
          <t>inversor</t>
        </is>
      </c>
      <c r="E16" s="12" t="inlineStr">
        <is>
          <t>7.6 kW</t>
        </is>
      </c>
      <c r="F16" s="14" t="n">
        <v>0</v>
      </c>
      <c r="G16" s="14" t="n">
        <v>5</v>
      </c>
      <c r="H16" s="14" t="n">
        <v>5</v>
      </c>
      <c r="I16" s="14">
        <f>F16+G16-H16</f>
        <v/>
      </c>
      <c r="J16" s="15" t="n">
        <v>0.1042</v>
      </c>
      <c r="K16" s="16" t="n">
        <v>792</v>
      </c>
      <c r="L16" s="16">
        <f>I16*K16</f>
        <v/>
      </c>
      <c r="M16" s="16">
        <f>L16*tc_actual</f>
        <v/>
      </c>
    </row>
    <row r="17">
      <c r="A17" s="12" t="inlineStr">
        <is>
          <t>GOODWE-MSUS9.6KW3MPPT</t>
        </is>
      </c>
      <c r="B17" s="12" t="inlineStr">
        <is>
          <t>GOODWE</t>
        </is>
      </c>
      <c r="C17" s="12" t="inlineStr">
        <is>
          <t>MS-US 9.6 KW 3MPPT</t>
        </is>
      </c>
      <c r="D17" s="12" t="inlineStr">
        <is>
          <t>inversor</t>
        </is>
      </c>
      <c r="E17" s="12" t="inlineStr">
        <is>
          <t>9.6 kW</t>
        </is>
      </c>
      <c r="F17" s="14" t="n">
        <v>0</v>
      </c>
      <c r="G17" s="14" t="n">
        <v>5</v>
      </c>
      <c r="H17" s="14" t="n">
        <v>5</v>
      </c>
      <c r="I17" s="14">
        <f>F17+G17-H17</f>
        <v/>
      </c>
      <c r="J17" s="15" t="n">
        <v>0.0936</v>
      </c>
      <c r="K17" s="16" t="n">
        <v>899</v>
      </c>
      <c r="L17" s="16">
        <f>I17*K17</f>
        <v/>
      </c>
      <c r="M17" s="16">
        <f>L17*tc_actual</f>
        <v/>
      </c>
    </row>
    <row r="18">
      <c r="A18" s="12" t="inlineStr">
        <is>
          <t>GROWAT-2KW</t>
        </is>
      </c>
      <c r="B18" s="12" t="inlineStr">
        <is>
          <t>GROWATT</t>
        </is>
      </c>
      <c r="C18" s="12" t="inlineStr">
        <is>
          <t>GROWATT 2kW</t>
        </is>
      </c>
      <c r="D18" s="12" t="inlineStr">
        <is>
          <t>inversor</t>
        </is>
      </c>
      <c r="E18" s="12" t="inlineStr">
        <is>
          <t>2 kW</t>
        </is>
      </c>
      <c r="F18" s="14" t="n">
        <v>1</v>
      </c>
      <c r="G18" s="14" t="n">
        <v>0</v>
      </c>
      <c r="H18" s="14" t="n">
        <v>0</v>
      </c>
      <c r="I18" s="14">
        <f>F18+G18-H18</f>
        <v/>
      </c>
      <c r="J18" s="15" t="n"/>
      <c r="K18" s="16" t="n">
        <v>0</v>
      </c>
      <c r="L18" s="16">
        <f>I18*K18</f>
        <v/>
      </c>
      <c r="M18" s="16">
        <f>L18*tc_actual</f>
        <v/>
      </c>
    </row>
    <row r="19">
      <c r="A19" s="12" t="inlineStr">
        <is>
          <t>GROWAT-MAC15KTL3</t>
        </is>
      </c>
      <c r="B19" s="12" t="inlineStr">
        <is>
          <t>GROWATT</t>
        </is>
      </c>
      <c r="C19" s="12" t="inlineStr">
        <is>
          <t>Growatt MAC 15 KTL3</t>
        </is>
      </c>
      <c r="D19" s="12" t="inlineStr">
        <is>
          <t>inversor</t>
        </is>
      </c>
      <c r="E19" s="12" t="inlineStr">
        <is>
          <t>15 kW</t>
        </is>
      </c>
      <c r="F19" s="14" t="n">
        <v>1</v>
      </c>
      <c r="G19" s="14" t="n">
        <v>0</v>
      </c>
      <c r="H19" s="14" t="n">
        <v>1</v>
      </c>
      <c r="I19" s="14">
        <f>F19+G19-H19</f>
        <v/>
      </c>
      <c r="J19" s="15" t="n">
        <v>0.115</v>
      </c>
      <c r="K19" s="16" t="n">
        <v>1725</v>
      </c>
      <c r="L19" s="16">
        <f>I19*K19</f>
        <v/>
      </c>
      <c r="M19" s="16">
        <f>L19*tc_actual</f>
        <v/>
      </c>
    </row>
    <row r="20">
      <c r="A20" s="12" t="inlineStr">
        <is>
          <t>GROWAT-MAC30KTL3XLINVERSORG</t>
        </is>
      </c>
      <c r="B20" s="12" t="inlineStr">
        <is>
          <t>GROWATT</t>
        </is>
      </c>
      <c r="C20" s="12" t="inlineStr">
        <is>
          <t>MAC 30KTL3-XL INVERSOR GROWATT</t>
        </is>
      </c>
      <c r="D20" s="12" t="inlineStr">
        <is>
          <t>inversor</t>
        </is>
      </c>
      <c r="E20" s="12" t="inlineStr">
        <is>
          <t>30 kW</t>
        </is>
      </c>
      <c r="F20" s="14" t="n">
        <v>0</v>
      </c>
      <c r="G20" s="14" t="n">
        <v>3</v>
      </c>
      <c r="H20" s="14" t="n">
        <v>3</v>
      </c>
      <c r="I20" s="14">
        <f>F20+G20-H20</f>
        <v/>
      </c>
      <c r="J20" s="15" t="n">
        <v>0.0779</v>
      </c>
      <c r="K20" s="16" t="n">
        <v>2335.63</v>
      </c>
      <c r="L20" s="16">
        <f>I20*K20</f>
        <v/>
      </c>
      <c r="M20" s="16">
        <f>L20*tc_actual</f>
        <v/>
      </c>
    </row>
    <row r="21">
      <c r="A21" s="12" t="inlineStr">
        <is>
          <t>GROWAT-MAC36KTL3XLINVERSORC</t>
        </is>
      </c>
      <c r="B21" s="12" t="inlineStr">
        <is>
          <t>GROWATT</t>
        </is>
      </c>
      <c r="C21" s="12" t="inlineStr">
        <is>
          <t>MAC 36KTL3-XL INVERSOR CENTRAL</t>
        </is>
      </c>
      <c r="D21" s="12" t="inlineStr">
        <is>
          <t>inversor</t>
        </is>
      </c>
      <c r="E21" s="12" t="inlineStr">
        <is>
          <t>36 kW</t>
        </is>
      </c>
      <c r="F21" s="14" t="n">
        <v>0</v>
      </c>
      <c r="G21" s="14" t="n">
        <v>3</v>
      </c>
      <c r="H21" s="14" t="n">
        <v>3</v>
      </c>
      <c r="I21" s="14">
        <f>F21+G21-H21</f>
        <v/>
      </c>
      <c r="J21" s="15" t="n">
        <v>0.0861</v>
      </c>
      <c r="K21" s="16" t="n">
        <v>3098.45</v>
      </c>
      <c r="L21" s="16">
        <f>I21*K21</f>
        <v/>
      </c>
      <c r="M21" s="16">
        <f>L21*tc_actual</f>
        <v/>
      </c>
    </row>
    <row r="22">
      <c r="A22" s="12" t="inlineStr">
        <is>
          <t>GROWAT-MIC3KW</t>
        </is>
      </c>
      <c r="B22" s="12" t="inlineStr">
        <is>
          <t>GROWATT</t>
        </is>
      </c>
      <c r="C22" s="12" t="inlineStr">
        <is>
          <t>GROWATT MIC 3kW</t>
        </is>
      </c>
      <c r="D22" s="12" t="inlineStr">
        <is>
          <t>inversor</t>
        </is>
      </c>
      <c r="E22" s="12" t="inlineStr">
        <is>
          <t>3 kW</t>
        </is>
      </c>
      <c r="F22" s="14" t="n">
        <v>2</v>
      </c>
      <c r="G22" s="14" t="n">
        <v>0</v>
      </c>
      <c r="H22" s="14" t="n">
        <v>1</v>
      </c>
      <c r="I22" s="14">
        <f>F22+G22-H22</f>
        <v/>
      </c>
      <c r="J22" s="15" t="n"/>
      <c r="K22" s="16" t="n">
        <v>0</v>
      </c>
      <c r="L22" s="16">
        <f>I22*K22</f>
        <v/>
      </c>
      <c r="M22" s="16">
        <f>L22*tc_actual</f>
        <v/>
      </c>
    </row>
    <row r="23">
      <c r="A23" s="12" t="inlineStr">
        <is>
          <t>GROWAT-MIN10TLX</t>
        </is>
      </c>
      <c r="B23" s="12" t="inlineStr">
        <is>
          <t>GROWATT</t>
        </is>
      </c>
      <c r="C23" s="12" t="inlineStr">
        <is>
          <t>GROWATT MIN 10 TL-X</t>
        </is>
      </c>
      <c r="D23" s="12" t="inlineStr">
        <is>
          <t>inversor</t>
        </is>
      </c>
      <c r="E23" s="12" t="inlineStr">
        <is>
          <t>10 kW</t>
        </is>
      </c>
      <c r="F23" s="14" t="n">
        <v>2</v>
      </c>
      <c r="G23" s="14" t="n">
        <v>5</v>
      </c>
      <c r="H23" s="14" t="n">
        <v>7</v>
      </c>
      <c r="I23" s="14">
        <f>F23+G23-H23</f>
        <v/>
      </c>
      <c r="J23" s="15" t="n">
        <v>0.094</v>
      </c>
      <c r="K23" s="16" t="n">
        <v>940</v>
      </c>
      <c r="L23" s="16">
        <f>I23*K23</f>
        <v/>
      </c>
      <c r="M23" s="16">
        <f>L23*tc_actual</f>
        <v/>
      </c>
    </row>
    <row r="24">
      <c r="A24" s="12" t="inlineStr">
        <is>
          <t>GROWAT-MIN5TLX</t>
        </is>
      </c>
      <c r="B24" s="12" t="inlineStr">
        <is>
          <t>GROWATT</t>
        </is>
      </c>
      <c r="C24" s="12" t="inlineStr">
        <is>
          <t>GROWATT MIN 5 TL-X</t>
        </is>
      </c>
      <c r="D24" s="12" t="inlineStr">
        <is>
          <t>inversor</t>
        </is>
      </c>
      <c r="E24" s="12" t="inlineStr">
        <is>
          <t>5 kW</t>
        </is>
      </c>
      <c r="F24" s="14" t="n">
        <v>3</v>
      </c>
      <c r="G24" s="14" t="n">
        <v>8</v>
      </c>
      <c r="H24" s="14" t="n">
        <v>11</v>
      </c>
      <c r="I24" s="14">
        <f>F24+G24-H24</f>
        <v/>
      </c>
      <c r="J24" s="15" t="n">
        <v>0.101</v>
      </c>
      <c r="K24" s="16" t="n">
        <v>505</v>
      </c>
      <c r="L24" s="16">
        <f>I24*K24</f>
        <v/>
      </c>
      <c r="M24" s="16">
        <f>L24*tc_actual</f>
        <v/>
      </c>
    </row>
    <row r="25">
      <c r="A25" s="12" t="inlineStr">
        <is>
          <t>GROWAT-MIN6TLX</t>
        </is>
      </c>
      <c r="B25" s="12" t="inlineStr">
        <is>
          <t>GROWATT</t>
        </is>
      </c>
      <c r="C25" s="12" t="inlineStr">
        <is>
          <t>GROWATT MIN 6 TL-X</t>
        </is>
      </c>
      <c r="D25" s="12" t="inlineStr">
        <is>
          <t>inversor</t>
        </is>
      </c>
      <c r="E25" s="12" t="inlineStr">
        <is>
          <t>6 kW</t>
        </is>
      </c>
      <c r="F25" s="14" t="n">
        <v>2</v>
      </c>
      <c r="G25" s="14" t="n">
        <v>9</v>
      </c>
      <c r="H25" s="14" t="n">
        <v>11</v>
      </c>
      <c r="I25" s="14">
        <f>F25+G25-H25</f>
        <v/>
      </c>
      <c r="J25" s="15" t="n">
        <v>0.0883</v>
      </c>
      <c r="K25" s="16" t="n">
        <v>530</v>
      </c>
      <c r="L25" s="16">
        <f>I25*K25</f>
        <v/>
      </c>
      <c r="M25" s="16">
        <f>L25*tc_actual</f>
        <v/>
      </c>
    </row>
    <row r="26">
      <c r="A26" s="12" t="inlineStr">
        <is>
          <t>GROWAT-MIN8TLJX</t>
        </is>
      </c>
      <c r="B26" s="12" t="inlineStr">
        <is>
          <t>GROWATT</t>
        </is>
      </c>
      <c r="C26" s="12" t="inlineStr">
        <is>
          <t>GROWATT MIN 8 TLJ-X</t>
        </is>
      </c>
      <c r="D26" s="12" t="inlineStr">
        <is>
          <t>inversor</t>
        </is>
      </c>
      <c r="E26" s="12" t="inlineStr">
        <is>
          <t>8 kW</t>
        </is>
      </c>
      <c r="F26" s="14" t="n">
        <v>2</v>
      </c>
      <c r="G26" s="14" t="n">
        <v>3</v>
      </c>
      <c r="H26" s="14" t="n">
        <v>4</v>
      </c>
      <c r="I26" s="14">
        <f>F26+G26-H26</f>
        <v/>
      </c>
      <c r="J26" s="15" t="n">
        <v>0.0919</v>
      </c>
      <c r="K26" s="16" t="n">
        <v>735</v>
      </c>
      <c r="L26" s="16">
        <f>I26*K26</f>
        <v/>
      </c>
      <c r="M26" s="16">
        <f>L26*tc_actual</f>
        <v/>
      </c>
    </row>
    <row r="27">
      <c r="A27" s="12" t="inlineStr">
        <is>
          <t>GROWAT-SPF3KWAISLADO</t>
        </is>
      </c>
      <c r="B27" s="12" t="inlineStr">
        <is>
          <t>GROWATT</t>
        </is>
      </c>
      <c r="C27" s="12" t="inlineStr">
        <is>
          <t>GROWATT SPF 3kW AISLADO</t>
        </is>
      </c>
      <c r="D27" s="12" t="inlineStr">
        <is>
          <t>inversor_aislado</t>
        </is>
      </c>
      <c r="E27" s="12" t="inlineStr">
        <is>
          <t>3 kW</t>
        </is>
      </c>
      <c r="F27" s="14" t="n">
        <v>1</v>
      </c>
      <c r="G27" s="14" t="n">
        <v>0</v>
      </c>
      <c r="H27" s="14" t="n">
        <v>0</v>
      </c>
      <c r="I27" s="14">
        <f>F27+G27-H27</f>
        <v/>
      </c>
      <c r="J27" s="15" t="n"/>
      <c r="K27" s="16" t="n">
        <v>0</v>
      </c>
      <c r="L27" s="16">
        <f>I27*K27</f>
        <v/>
      </c>
      <c r="M27" s="16">
        <f>L27*tc_actual</f>
        <v/>
      </c>
    </row>
    <row r="28">
      <c r="A28" s="17" t="n"/>
      <c r="B28" s="17" t="inlineStr">
        <is>
          <t>TOTAL</t>
        </is>
      </c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8">
        <f>SUM(L2:L27)</f>
        <v/>
      </c>
      <c r="M28" s="18">
        <f>SUM(M2:M27)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5" customWidth="1" min="4" max="4"/>
    <col width="12" customWidth="1" min="5" max="5"/>
    <col width="12" customWidth="1" min="6" max="6"/>
    <col width="14" customWidth="1" min="7" max="7"/>
    <col width="20" customWidth="1" min="8" max="8"/>
    <col width="17" customWidth="1" min="9" max="9"/>
    <col width="17" customWidth="1" min="10" max="10"/>
  </cols>
  <sheetData>
    <row r="1" ht="32" customHeight="1">
      <c r="A1" s="4" t="inlineStr">
        <is>
          <t>Código</t>
        </is>
      </c>
      <c r="B1" s="4" t="inlineStr">
        <is>
          <t>Descripción</t>
        </is>
      </c>
      <c r="C1" s="4" t="inlineStr">
        <is>
          <t>Unidad</t>
        </is>
      </c>
      <c r="D1" s="4" t="inlineStr">
        <is>
          <t>Stock inicial</t>
        </is>
      </c>
      <c r="E1" s="4" t="inlineStr">
        <is>
          <t>Entrada</t>
        </is>
      </c>
      <c r="F1" s="4" t="inlineStr">
        <is>
          <t>Salida</t>
        </is>
      </c>
      <c r="G1" s="4" t="inlineStr">
        <is>
          <t>Stock actual</t>
        </is>
      </c>
      <c r="H1" s="4" t="inlineStr">
        <is>
          <t>Precio unit. USD</t>
        </is>
      </c>
      <c r="I1" s="4" t="inlineStr">
        <is>
          <t>Valor total USD</t>
        </is>
      </c>
      <c r="J1" s="4" t="inlineStr">
        <is>
          <t>Valor total MXN</t>
        </is>
      </c>
    </row>
    <row r="2">
      <c r="A2" s="12" t="inlineStr">
        <is>
          <t>CABLEADO-FV-12-AWG</t>
        </is>
      </c>
      <c r="B2" s="12" t="inlineStr">
        <is>
          <t>Cableado Fotovoltaico calibre 12 negro</t>
        </is>
      </c>
      <c r="C2" s="12" t="inlineStr">
        <is>
          <t>metros</t>
        </is>
      </c>
      <c r="D2" s="14" t="n">
        <v>2600</v>
      </c>
      <c r="E2" s="14" t="n">
        <v>0</v>
      </c>
      <c r="F2" s="14" t="n">
        <v>360</v>
      </c>
      <c r="G2" s="14">
        <f>D2+E2-F2</f>
        <v/>
      </c>
      <c r="H2" s="15" t="n">
        <v>0.8910761154855643</v>
      </c>
      <c r="I2" s="16">
        <f>G2*H2</f>
        <v/>
      </c>
      <c r="J2" s="16">
        <f>I2*tc_actual</f>
        <v/>
      </c>
    </row>
    <row r="3">
      <c r="A3" s="12" t="inlineStr">
        <is>
          <t>CABLEADO-FV-10-AWG</t>
        </is>
      </c>
      <c r="B3" s="12" t="inlineStr">
        <is>
          <t>Cableado fotovoltaico calibre 10 negro</t>
        </is>
      </c>
      <c r="C3" s="12" t="inlineStr">
        <is>
          <t>metros</t>
        </is>
      </c>
      <c r="D3" s="14" t="n">
        <v>2000</v>
      </c>
      <c r="E3" s="14" t="n">
        <v>0</v>
      </c>
      <c r="F3" s="14" t="n">
        <v>0</v>
      </c>
      <c r="G3" s="14">
        <f>D3+E3-F3</f>
        <v/>
      </c>
      <c r="H3" s="15" t="n">
        <v>0.8910761154855643</v>
      </c>
      <c r="I3" s="16">
        <f>G3*H3</f>
        <v/>
      </c>
      <c r="J3" s="16">
        <f>I3*tc_actual</f>
        <v/>
      </c>
    </row>
    <row r="4">
      <c r="A4" s="17" t="n"/>
      <c r="B4" s="17" t="inlineStr">
        <is>
          <t>TOTAL</t>
        </is>
      </c>
      <c r="C4" s="17" t="n"/>
      <c r="D4" s="17" t="n"/>
      <c r="E4" s="17" t="n"/>
      <c r="F4" s="17" t="n"/>
      <c r="G4" s="17" t="n"/>
      <c r="H4" s="17" t="n"/>
      <c r="I4" s="18">
        <f>SUM(I2:I3)</f>
        <v/>
      </c>
      <c r="J4" s="18">
        <f>SUM(J2:J3)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  <col width="21" customWidth="1" min="4" max="4"/>
    <col width="50" customWidth="1" min="5" max="5"/>
    <col width="18" customWidth="1" min="6" max="6"/>
    <col width="16" customWidth="1" min="7" max="7"/>
    <col width="30" customWidth="1" min="8" max="8"/>
    <col width="16" customWidth="1" min="9" max="9"/>
    <col width="16" customWidth="1" min="10" max="10"/>
  </cols>
  <sheetData>
    <row r="1" ht="32" customHeight="1">
      <c r="A1" s="4" t="inlineStr">
        <is>
          <t>Código</t>
        </is>
      </c>
      <c r="B1" s="4" t="inlineStr">
        <is>
          <t>Descripción</t>
        </is>
      </c>
      <c r="C1" s="4" t="inlineStr">
        <is>
          <t>Cantidad</t>
        </is>
      </c>
      <c r="D1" s="4" t="inlineStr">
        <is>
          <t>Cant. orig. (Excel)</t>
        </is>
      </c>
      <c r="E1" s="4" t="inlineStr">
        <is>
          <t>Corrección</t>
        </is>
      </c>
      <c r="F1" s="4" t="inlineStr">
        <is>
          <t>Precio unit. USD</t>
        </is>
      </c>
      <c r="G1" s="4" t="inlineStr">
        <is>
          <t>Color (origen)</t>
        </is>
      </c>
      <c r="H1" s="4" t="inlineStr">
        <is>
          <t>Etiqueta color</t>
        </is>
      </c>
      <c r="I1" s="4" t="inlineStr">
        <is>
          <t>Valor lote USD</t>
        </is>
      </c>
      <c r="J1" s="4" t="inlineStr">
        <is>
          <t>Valor lote MXN</t>
        </is>
      </c>
    </row>
    <row r="2">
      <c r="A2" s="12" t="inlineStr">
        <is>
          <t>NXT-TILT</t>
        </is>
      </c>
      <c r="B2" s="12" t="inlineStr">
        <is>
          <t>1 Conector para riel inclinado</t>
        </is>
      </c>
      <c r="C2" s="14" t="n">
        <v>300</v>
      </c>
      <c r="D2" s="12" t="inlineStr">
        <is>
          <t>—</t>
        </is>
      </c>
      <c r="E2" s="12" t="inlineStr"/>
      <c r="F2" s="15" t="n">
        <v>3.18</v>
      </c>
      <c r="G2" s="12" t="inlineStr">
        <is>
          <t>theme:9</t>
        </is>
      </c>
      <c r="H2" s="12" t="inlineStr">
        <is>
          <t>Color A (lote más frecuente)</t>
        </is>
      </c>
      <c r="I2" s="16">
        <f>C2*F2</f>
        <v/>
      </c>
      <c r="J2" s="16">
        <f>I2*tc_actual</f>
        <v/>
      </c>
    </row>
    <row r="3">
      <c r="A3" s="12" t="inlineStr">
        <is>
          <t>NXT-TILT</t>
        </is>
      </c>
      <c r="B3" s="12" t="inlineStr">
        <is>
          <t>1 Conector para riel inclinado</t>
        </is>
      </c>
      <c r="C3" s="14" t="n">
        <v>300</v>
      </c>
      <c r="D3" s="12" t="inlineStr">
        <is>
          <t>—</t>
        </is>
      </c>
      <c r="E3" s="12" t="inlineStr"/>
      <c r="F3" s="15" t="n">
        <v>3.18</v>
      </c>
      <c r="G3" s="12" t="inlineStr">
        <is>
          <t>theme:8</t>
        </is>
      </c>
      <c r="H3" s="12" t="inlineStr">
        <is>
          <t>Color B</t>
        </is>
      </c>
      <c r="I3" s="16">
        <f>C3*F3</f>
        <v/>
      </c>
      <c r="J3" s="16">
        <f>I3*tc_actual</f>
        <v/>
      </c>
    </row>
    <row r="4">
      <c r="A4" s="12" t="inlineStr">
        <is>
          <t>NXT-TILT</t>
        </is>
      </c>
      <c r="B4" s="12" t="inlineStr">
        <is>
          <t>1 Conector para riel inclinado</t>
        </is>
      </c>
      <c r="C4" s="14" t="n">
        <v>315</v>
      </c>
      <c r="D4" s="12" t="inlineStr">
        <is>
          <t>—</t>
        </is>
      </c>
      <c r="E4" s="12" t="inlineStr"/>
      <c r="F4" s="15" t="n">
        <v>3.16</v>
      </c>
      <c r="G4" s="12" t="inlineStr">
        <is>
          <t>theme:9</t>
        </is>
      </c>
      <c r="H4" s="12" t="inlineStr">
        <is>
          <t>Color A (lote más frecuente)</t>
        </is>
      </c>
      <c r="I4" s="16">
        <f>C4*F4</f>
        <v/>
      </c>
      <c r="J4" s="16">
        <f>I4*tc_actual</f>
        <v/>
      </c>
    </row>
    <row r="5">
      <c r="A5" s="12" t="inlineStr">
        <is>
          <t>NXT-TILT</t>
        </is>
      </c>
      <c r="B5" s="12" t="inlineStr">
        <is>
          <t>1 Conector para riel inclinado</t>
        </is>
      </c>
      <c r="C5" s="14" t="n">
        <v>300</v>
      </c>
      <c r="D5" s="12" t="inlineStr">
        <is>
          <t>—</t>
        </is>
      </c>
      <c r="E5" s="12" t="inlineStr"/>
      <c r="F5" s="15" t="n">
        <v>3.18</v>
      </c>
      <c r="G5" s="12" t="inlineStr">
        <is>
          <t>FFFFFF00</t>
        </is>
      </c>
      <c r="H5" s="12" t="inlineStr">
        <is>
          <t>Color C (amarillo)</t>
        </is>
      </c>
      <c r="I5" s="16">
        <f>C5*F5</f>
        <v/>
      </c>
      <c r="J5" s="16">
        <f>I5*tc_actual</f>
        <v/>
      </c>
    </row>
    <row r="6">
      <c r="A6" s="12" t="inlineStr">
        <is>
          <t>NXT-RS</t>
        </is>
      </c>
      <c r="B6" s="12" t="inlineStr">
        <is>
          <t>1 empalme de riel con puesta a tierra para Next Rail NXT-RX.</t>
        </is>
      </c>
      <c r="C6" s="14" t="n">
        <v>300</v>
      </c>
      <c r="D6" s="12" t="inlineStr">
        <is>
          <t>—</t>
        </is>
      </c>
      <c r="E6" s="12" t="inlineStr"/>
      <c r="F6" s="15" t="n">
        <v>2.79</v>
      </c>
      <c r="G6" s="12" t="inlineStr">
        <is>
          <t>theme:9</t>
        </is>
      </c>
      <c r="H6" s="12" t="inlineStr">
        <is>
          <t>Color A (lote más frecuente)</t>
        </is>
      </c>
      <c r="I6" s="16">
        <f>C6*F6</f>
        <v/>
      </c>
      <c r="J6" s="16">
        <f>I6*tc_actual</f>
        <v/>
      </c>
    </row>
    <row r="7">
      <c r="A7" s="12" t="inlineStr">
        <is>
          <t>NXT-RS</t>
        </is>
      </c>
      <c r="B7" s="12" t="inlineStr">
        <is>
          <t>1 empalme de riel con puesta a tierra para Next Rail NXT-RX.</t>
        </is>
      </c>
      <c r="C7" s="14" t="n">
        <v>300</v>
      </c>
      <c r="D7" s="12" t="inlineStr">
        <is>
          <t>—</t>
        </is>
      </c>
      <c r="E7" s="12" t="inlineStr"/>
      <c r="F7" s="15" t="n">
        <v>2.79</v>
      </c>
      <c r="G7" s="12" t="inlineStr">
        <is>
          <t>theme:8</t>
        </is>
      </c>
      <c r="H7" s="12" t="inlineStr">
        <is>
          <t>Color B</t>
        </is>
      </c>
      <c r="I7" s="16">
        <f>C7*F7</f>
        <v/>
      </c>
      <c r="J7" s="16">
        <f>I7*tc_actual</f>
        <v/>
      </c>
    </row>
    <row r="8">
      <c r="A8" s="12" t="inlineStr">
        <is>
          <t>NXT-RS</t>
        </is>
      </c>
      <c r="B8" s="12" t="inlineStr">
        <is>
          <t>1 empalme de riel con puesta a tierra para Next Rail NXT-RX.</t>
        </is>
      </c>
      <c r="C8" s="14" t="n">
        <v>315</v>
      </c>
      <c r="D8" s="12" t="inlineStr">
        <is>
          <t>—</t>
        </is>
      </c>
      <c r="E8" s="12" t="inlineStr"/>
      <c r="F8" s="15" t="n">
        <v>2.78</v>
      </c>
      <c r="G8" s="12" t="inlineStr">
        <is>
          <t>theme:9</t>
        </is>
      </c>
      <c r="H8" s="12" t="inlineStr">
        <is>
          <t>Color A (lote más frecuente)</t>
        </is>
      </c>
      <c r="I8" s="16">
        <f>C8*F8</f>
        <v/>
      </c>
      <c r="J8" s="16">
        <f>I8*tc_actual</f>
        <v/>
      </c>
    </row>
    <row r="9">
      <c r="A9" s="12" t="inlineStr">
        <is>
          <t>NXT-RS</t>
        </is>
      </c>
      <c r="B9" s="12" t="inlineStr">
        <is>
          <t>1 empalme de riel con puesta a tierra para Next Rail NXT-RX.</t>
        </is>
      </c>
      <c r="C9" s="14" t="n">
        <v>300</v>
      </c>
      <c r="D9" s="12" t="inlineStr">
        <is>
          <t>—</t>
        </is>
      </c>
      <c r="E9" s="12" t="inlineStr"/>
      <c r="F9" s="15" t="n">
        <v>2.79</v>
      </c>
      <c r="G9" s="12" t="inlineStr">
        <is>
          <t>FFFFFF00</t>
        </is>
      </c>
      <c r="H9" s="12" t="inlineStr">
        <is>
          <t>Color C (amarillo)</t>
        </is>
      </c>
      <c r="I9" s="16">
        <f>C9*F9</f>
        <v/>
      </c>
      <c r="J9" s="16">
        <f>I9*tc_actual</f>
        <v/>
      </c>
    </row>
    <row r="10">
      <c r="A10" s="12" t="inlineStr">
        <is>
          <t>NXT-LFOOT</t>
        </is>
      </c>
      <c r="B10" s="12" t="inlineStr">
        <is>
          <t>1 Soporte "L" de 95 mm de altura para Nxt-Rail</t>
        </is>
      </c>
      <c r="C10" s="14" t="n">
        <v>110</v>
      </c>
      <c r="D10" s="12" t="inlineStr">
        <is>
          <t>—</t>
        </is>
      </c>
      <c r="E10" s="12" t="inlineStr"/>
      <c r="F10" s="15" t="n">
        <v>2.18</v>
      </c>
      <c r="G10" s="12" t="inlineStr">
        <is>
          <t>theme:9</t>
        </is>
      </c>
      <c r="H10" s="12" t="inlineStr">
        <is>
          <t>Color A (lote más frecuente)</t>
        </is>
      </c>
      <c r="I10" s="16">
        <f>C10*F10</f>
        <v/>
      </c>
      <c r="J10" s="16">
        <f>I10*tc_actual</f>
        <v/>
      </c>
    </row>
    <row r="11">
      <c r="A11" s="12" t="inlineStr">
        <is>
          <t>NXT-LFOOT</t>
        </is>
      </c>
      <c r="B11" s="12" t="inlineStr">
        <is>
          <t>1 Soporte "L" de 95 mm de altura para Nxt-Rail</t>
        </is>
      </c>
      <c r="C11" s="14" t="n">
        <v>110</v>
      </c>
      <c r="D11" s="12" t="inlineStr">
        <is>
          <t>—</t>
        </is>
      </c>
      <c r="E11" s="12" t="inlineStr"/>
      <c r="F11" s="15" t="n">
        <v>2.18</v>
      </c>
      <c r="G11" s="12" t="inlineStr">
        <is>
          <t>theme:8</t>
        </is>
      </c>
      <c r="H11" s="12" t="inlineStr">
        <is>
          <t>Color B</t>
        </is>
      </c>
      <c r="I11" s="16">
        <f>C11*F11</f>
        <v/>
      </c>
      <c r="J11" s="16">
        <f>I11*tc_actual</f>
        <v/>
      </c>
    </row>
    <row r="12">
      <c r="A12" s="12" t="inlineStr">
        <is>
          <t>NXT-LFOOT</t>
        </is>
      </c>
      <c r="B12" s="12" t="inlineStr">
        <is>
          <t>1 Soporte "L" de 95 mm de altura para Nxt-Rail</t>
        </is>
      </c>
      <c r="C12" s="14" t="n">
        <v>315</v>
      </c>
      <c r="D12" s="12" t="inlineStr">
        <is>
          <t>—</t>
        </is>
      </c>
      <c r="E12" s="12" t="inlineStr"/>
      <c r="F12" s="15" t="n">
        <v>2.17</v>
      </c>
      <c r="G12" s="12" t="inlineStr">
        <is>
          <t>theme:9</t>
        </is>
      </c>
      <c r="H12" s="12" t="inlineStr">
        <is>
          <t>Color A (lote más frecuente)</t>
        </is>
      </c>
      <c r="I12" s="16">
        <f>C12*F12</f>
        <v/>
      </c>
      <c r="J12" s="16">
        <f>I12*tc_actual</f>
        <v/>
      </c>
    </row>
    <row r="13">
      <c r="A13" s="12" t="inlineStr">
        <is>
          <t>NXT-LFOOT</t>
        </is>
      </c>
      <c r="B13" s="12" t="inlineStr">
        <is>
          <t>1 Soporte "L" de 95 mm de altura para Nxt-Rail</t>
        </is>
      </c>
      <c r="C13" s="14" t="n">
        <v>110</v>
      </c>
      <c r="D13" s="12" t="inlineStr">
        <is>
          <t>—</t>
        </is>
      </c>
      <c r="E13" s="12" t="inlineStr"/>
      <c r="F13" s="15" t="n">
        <v>2.18</v>
      </c>
      <c r="G13" s="12" t="inlineStr">
        <is>
          <t>FFFFFF00</t>
        </is>
      </c>
      <c r="H13" s="12" t="inlineStr">
        <is>
          <t>Color C (amarillo)</t>
        </is>
      </c>
      <c r="I13" s="16">
        <f>C13*F13</f>
        <v/>
      </c>
      <c r="J13" s="16">
        <f>I13*tc_actual</f>
        <v/>
      </c>
    </row>
    <row r="14">
      <c r="A14" s="12" t="inlineStr">
        <is>
          <t>PV-10PC10-1500</t>
        </is>
      </c>
      <c r="B14" s="12" t="inlineStr">
        <is>
          <t>10 Conectores MC4, 5 Hembras y 5 Macho cable 14-10AWG, 1500 Vdc</t>
        </is>
      </c>
      <c r="C14" s="14" t="n">
        <v>150</v>
      </c>
      <c r="D14" s="12" t="inlineStr">
        <is>
          <t>—</t>
        </is>
      </c>
      <c r="E14" s="12" t="inlineStr"/>
      <c r="F14" s="15" t="n">
        <v>5.56</v>
      </c>
      <c r="G14" s="12" t="inlineStr">
        <is>
          <t>theme:9</t>
        </is>
      </c>
      <c r="H14" s="12" t="inlineStr">
        <is>
          <t>Color A (lote más frecuente)</t>
        </is>
      </c>
      <c r="I14" s="16">
        <f>C14*F14</f>
        <v/>
      </c>
      <c r="J14" s="16">
        <f>I14*tc_actual</f>
        <v/>
      </c>
    </row>
    <row r="15">
      <c r="A15" s="12" t="inlineStr">
        <is>
          <t>NXT-AUA-30/46-2</t>
        </is>
      </c>
      <c r="B15" s="12" t="inlineStr">
        <is>
          <t>2 Abrazaderas universales de Aluminio para paneles de 30-46mm</t>
        </is>
      </c>
      <c r="C15" s="14" t="n">
        <v>910</v>
      </c>
      <c r="D15" s="12" t="inlineStr">
        <is>
          <t>—</t>
        </is>
      </c>
      <c r="E15" s="12" t="inlineStr"/>
      <c r="F15" s="15" t="n">
        <v>3.99</v>
      </c>
      <c r="G15" s="12" t="inlineStr">
        <is>
          <t>theme:9</t>
        </is>
      </c>
      <c r="H15" s="12" t="inlineStr">
        <is>
          <t>Color A (lote más frecuente)</t>
        </is>
      </c>
      <c r="I15" s="16">
        <f>C15*F15</f>
        <v/>
      </c>
      <c r="J15" s="16">
        <f>I15*tc_actual</f>
        <v/>
      </c>
    </row>
    <row r="16">
      <c r="A16" s="12" t="inlineStr">
        <is>
          <t>NXT-AUA-30/46-2</t>
        </is>
      </c>
      <c r="B16" s="12" t="inlineStr">
        <is>
          <t>2 Abrazaderas universales de Aluminio para paneles de 30-46mm</t>
        </is>
      </c>
      <c r="C16" s="14" t="n">
        <v>910</v>
      </c>
      <c r="D16" s="12" t="inlineStr">
        <is>
          <t>—</t>
        </is>
      </c>
      <c r="E16" s="12" t="inlineStr"/>
      <c r="F16" s="15" t="n">
        <v>3.99</v>
      </c>
      <c r="G16" s="12" t="inlineStr">
        <is>
          <t>theme:8</t>
        </is>
      </c>
      <c r="H16" s="12" t="inlineStr">
        <is>
          <t>Color B</t>
        </is>
      </c>
      <c r="I16" s="16">
        <f>C16*F16</f>
        <v/>
      </c>
      <c r="J16" s="16">
        <f>I16*tc_actual</f>
        <v/>
      </c>
    </row>
    <row r="17">
      <c r="A17" s="12" t="inlineStr">
        <is>
          <t>NXT-AUA-30/46-2</t>
        </is>
      </c>
      <c r="B17" s="12" t="inlineStr">
        <is>
          <t>2 Abrazaderas universales de Aluminio para paneles de 30-46mm</t>
        </is>
      </c>
      <c r="C17" s="14" t="n">
        <v>315</v>
      </c>
      <c r="D17" s="12" t="inlineStr">
        <is>
          <t>—</t>
        </is>
      </c>
      <c r="E17" s="12" t="inlineStr"/>
      <c r="F17" s="15" t="n">
        <v>3.97</v>
      </c>
      <c r="G17" s="12" t="inlineStr">
        <is>
          <t>theme:9</t>
        </is>
      </c>
      <c r="H17" s="12" t="inlineStr">
        <is>
          <t>Color A (lote más frecuente)</t>
        </is>
      </c>
      <c r="I17" s="16">
        <f>C17*F17</f>
        <v/>
      </c>
      <c r="J17" s="16">
        <f>I17*tc_actual</f>
        <v/>
      </c>
    </row>
    <row r="18">
      <c r="A18" s="12" t="inlineStr">
        <is>
          <t>NXT-AUA-30/46-2</t>
        </is>
      </c>
      <c r="B18" s="12" t="inlineStr">
        <is>
          <t>2 Abrazaderas universales de Aluminio para paneles de 30-46mm</t>
        </is>
      </c>
      <c r="C18" s="14" t="n">
        <v>910</v>
      </c>
      <c r="D18" s="12" t="inlineStr">
        <is>
          <t>—</t>
        </is>
      </c>
      <c r="E18" s="12" t="inlineStr"/>
      <c r="F18" s="15" t="n">
        <v>3.99</v>
      </c>
      <c r="G18" s="12" t="inlineStr">
        <is>
          <t>FFFFFF00</t>
        </is>
      </c>
      <c r="H18" s="12" t="inlineStr">
        <is>
          <t>Color C (amarillo)</t>
        </is>
      </c>
      <c r="I18" s="16">
        <f>C18*F18</f>
        <v/>
      </c>
      <c r="J18" s="16">
        <f>I18*tc_actual</f>
        <v/>
      </c>
    </row>
    <row r="19">
      <c r="A19" s="12" t="inlineStr">
        <is>
          <t>NXT-CRC-4</t>
        </is>
      </c>
      <c r="B19" s="12" t="inlineStr">
        <is>
          <t>4 Clips de conexión para Next Rail</t>
        </is>
      </c>
      <c r="C19" s="14" t="n">
        <v>480</v>
      </c>
      <c r="D19" s="12" t="inlineStr">
        <is>
          <t>—</t>
        </is>
      </c>
      <c r="E19" s="12" t="inlineStr"/>
      <c r="F19" s="15" t="n">
        <v>6.05</v>
      </c>
      <c r="G19" s="12" t="inlineStr">
        <is>
          <t>theme:9</t>
        </is>
      </c>
      <c r="H19" s="12" t="inlineStr">
        <is>
          <t>Color A (lote más frecuente)</t>
        </is>
      </c>
      <c r="I19" s="16">
        <f>C19*F19</f>
        <v/>
      </c>
      <c r="J19" s="16">
        <f>I19*tc_actual</f>
        <v/>
      </c>
    </row>
    <row r="20">
      <c r="A20" s="12" t="inlineStr">
        <is>
          <t>NXT-CRC-4</t>
        </is>
      </c>
      <c r="B20" s="12" t="inlineStr">
        <is>
          <t>4 Clips de conexión para Next Rail</t>
        </is>
      </c>
      <c r="C20" s="14" t="n">
        <v>480</v>
      </c>
      <c r="D20" s="12" t="inlineStr">
        <is>
          <t>—</t>
        </is>
      </c>
      <c r="E20" s="12" t="inlineStr"/>
      <c r="F20" s="15" t="n">
        <v>6.05</v>
      </c>
      <c r="G20" s="12" t="inlineStr">
        <is>
          <t>theme:8</t>
        </is>
      </c>
      <c r="H20" s="12" t="inlineStr">
        <is>
          <t>Color B</t>
        </is>
      </c>
      <c r="I20" s="16">
        <f>C20*F20</f>
        <v/>
      </c>
      <c r="J20" s="16">
        <f>I20*tc_actual</f>
        <v/>
      </c>
    </row>
    <row r="21">
      <c r="A21" s="12" t="inlineStr">
        <is>
          <t>NXT-CRC-4</t>
        </is>
      </c>
      <c r="B21" s="12" t="inlineStr">
        <is>
          <t>4 Clips de conexión para Next Rail</t>
        </is>
      </c>
      <c r="C21" s="14" t="n">
        <v>480</v>
      </c>
      <c r="D21" s="12" t="inlineStr">
        <is>
          <t>—</t>
        </is>
      </c>
      <c r="E21" s="12" t="inlineStr"/>
      <c r="F21" s="15" t="n">
        <v>6.05</v>
      </c>
      <c r="G21" s="12" t="inlineStr">
        <is>
          <t>FFFFFF00</t>
        </is>
      </c>
      <c r="H21" s="12" t="inlineStr">
        <is>
          <t>Color C (amarillo)</t>
        </is>
      </c>
      <c r="I21" s="16">
        <f>C21*F21</f>
        <v/>
      </c>
      <c r="J21" s="16">
        <f>I21*tc_actual</f>
        <v/>
      </c>
    </row>
    <row r="22">
      <c r="A22" s="12" t="inlineStr">
        <is>
          <t>NXT-TB-M8X25-5</t>
        </is>
      </c>
      <c r="B22" s="12" t="inlineStr">
        <is>
          <t>5 Tbolt M8x25 Acero Inoxidable con tuerca para NextRail</t>
        </is>
      </c>
      <c r="C22" s="14" t="n">
        <v>500</v>
      </c>
      <c r="D22" s="12" t="inlineStr">
        <is>
          <t>—</t>
        </is>
      </c>
      <c r="E22" s="12" t="inlineStr"/>
      <c r="F22" s="15" t="n">
        <v>2.47</v>
      </c>
      <c r="G22" s="12" t="inlineStr">
        <is>
          <t>theme:9</t>
        </is>
      </c>
      <c r="H22" s="12" t="inlineStr">
        <is>
          <t>Color A (lote más frecuente)</t>
        </is>
      </c>
      <c r="I22" s="16">
        <f>C22*F22</f>
        <v/>
      </c>
      <c r="J22" s="16">
        <f>I22*tc_actual</f>
        <v/>
      </c>
    </row>
    <row r="23">
      <c r="A23" s="12" t="inlineStr">
        <is>
          <t>NXT-TB-M8X25-5</t>
        </is>
      </c>
      <c r="B23" s="12" t="inlineStr">
        <is>
          <t>5 Tbolt M8x25 Acero Inoxidable con tuerca para NextRail</t>
        </is>
      </c>
      <c r="C23" s="14" t="n">
        <v>500</v>
      </c>
      <c r="D23" s="12" t="inlineStr">
        <is>
          <t>—</t>
        </is>
      </c>
      <c r="E23" s="12" t="inlineStr"/>
      <c r="F23" s="15" t="n">
        <v>2.47</v>
      </c>
      <c r="G23" s="12" t="inlineStr">
        <is>
          <t>theme:8</t>
        </is>
      </c>
      <c r="H23" s="12" t="inlineStr">
        <is>
          <t>Color B</t>
        </is>
      </c>
      <c r="I23" s="16">
        <f>C23*F23</f>
        <v/>
      </c>
      <c r="J23" s="16">
        <f>I23*tc_actual</f>
        <v/>
      </c>
    </row>
    <row r="24">
      <c r="A24" s="12" t="inlineStr">
        <is>
          <t>NXT-TB-M8X25-5</t>
        </is>
      </c>
      <c r="B24" s="12" t="inlineStr">
        <is>
          <t>5 Tbolt M8x25 Acero Inoxidable con tuerca para NextRail</t>
        </is>
      </c>
      <c r="C24" s="14" t="n">
        <v>500</v>
      </c>
      <c r="D24" s="12" t="inlineStr">
        <is>
          <t>—</t>
        </is>
      </c>
      <c r="E24" s="12" t="inlineStr"/>
      <c r="F24" s="15" t="n">
        <v>2.47</v>
      </c>
      <c r="G24" s="12" t="inlineStr">
        <is>
          <t>FFFFFF00</t>
        </is>
      </c>
      <c r="H24" s="12" t="inlineStr">
        <is>
          <t>Color C (amarillo)</t>
        </is>
      </c>
      <c r="I24" s="16">
        <f>C24*F24</f>
        <v/>
      </c>
      <c r="J24" s="16">
        <f>I24*tc_actual</f>
        <v/>
      </c>
    </row>
    <row r="25">
      <c r="A25" s="12" t="inlineStr">
        <is>
          <t>NXT-AR-4000</t>
        </is>
      </c>
      <c r="B25" s="12" t="inlineStr">
        <is>
          <t>Ángulo-Riel 4.0m, Alu 6105-T6</t>
        </is>
      </c>
      <c r="C25" s="14" t="n">
        <v>150</v>
      </c>
      <c r="D25" s="12" t="inlineStr">
        <is>
          <t>—</t>
        </is>
      </c>
      <c r="E25" s="12" t="inlineStr"/>
      <c r="F25" s="15" t="n">
        <v>25.25</v>
      </c>
      <c r="G25" s="12" t="inlineStr">
        <is>
          <t>theme:9</t>
        </is>
      </c>
      <c r="H25" s="12" t="inlineStr">
        <is>
          <t>Color A (lote más frecuente)</t>
        </is>
      </c>
      <c r="I25" s="16">
        <f>C25*F25</f>
        <v/>
      </c>
      <c r="J25" s="16">
        <f>I25*tc_actual</f>
        <v/>
      </c>
    </row>
    <row r="26">
      <c r="A26" s="12" t="inlineStr">
        <is>
          <t>NXT-AR-4000</t>
        </is>
      </c>
      <c r="B26" s="12" t="inlineStr">
        <is>
          <t>Ángulo-Riel 4.0m, Alu 6105-T6</t>
        </is>
      </c>
      <c r="C26" s="14" t="n">
        <v>150</v>
      </c>
      <c r="D26" s="12" t="inlineStr">
        <is>
          <t>—</t>
        </is>
      </c>
      <c r="E26" s="12" t="inlineStr"/>
      <c r="F26" s="15" t="n">
        <v>25.25</v>
      </c>
      <c r="G26" s="12" t="inlineStr">
        <is>
          <t>theme:8</t>
        </is>
      </c>
      <c r="H26" s="12" t="inlineStr">
        <is>
          <t>Color B</t>
        </is>
      </c>
      <c r="I26" s="16">
        <f>C26*F26</f>
        <v/>
      </c>
      <c r="J26" s="16">
        <f>I26*tc_actual</f>
        <v/>
      </c>
    </row>
    <row r="27">
      <c r="A27" s="12" t="inlineStr">
        <is>
          <t>NXT-AR-4000</t>
        </is>
      </c>
      <c r="B27" s="12" t="inlineStr">
        <is>
          <t>Ángulo-Riel 4.0m, Alu 6105-T6</t>
        </is>
      </c>
      <c r="C27" s="14" t="n">
        <v>150</v>
      </c>
      <c r="D27" s="12" t="inlineStr">
        <is>
          <t>—</t>
        </is>
      </c>
      <c r="E27" s="12" t="inlineStr"/>
      <c r="F27" s="15" t="n">
        <v>25.25</v>
      </c>
      <c r="G27" s="12" t="inlineStr">
        <is>
          <t>FFFFFF00</t>
        </is>
      </c>
      <c r="H27" s="12" t="inlineStr">
        <is>
          <t>Color C (amarillo)</t>
        </is>
      </c>
      <c r="I27" s="16">
        <f>C27*F27</f>
        <v/>
      </c>
      <c r="J27" s="16">
        <f>I27*tc_actual</f>
        <v/>
      </c>
    </row>
    <row r="28">
      <c r="A28" s="12" t="inlineStr">
        <is>
          <t>PV-C10-762M-BC</t>
        </is>
      </c>
      <c r="B28" s="12" t="inlineStr">
        <is>
          <t>Cable Fotovoltaico negro PV Wire carrete 762 mts 10AWG 2000V De 19 hilos</t>
        </is>
      </c>
      <c r="C28" s="14" t="n">
        <v>7</v>
      </c>
      <c r="D28" s="12" t="inlineStr">
        <is>
          <t>—</t>
        </is>
      </c>
      <c r="E28" s="12" t="inlineStr"/>
      <c r="F28" s="15" t="n">
        <v>612.8200000000001</v>
      </c>
      <c r="G28" s="12" t="inlineStr">
        <is>
          <t>theme:9</t>
        </is>
      </c>
      <c r="H28" s="12" t="inlineStr">
        <is>
          <t>Color A (lote más frecuente)</t>
        </is>
      </c>
      <c r="I28" s="16">
        <f>C28*F28</f>
        <v/>
      </c>
      <c r="J28" s="16">
        <f>I28*tc_actual</f>
        <v/>
      </c>
    </row>
    <row r="29">
      <c r="A29" s="12" t="inlineStr">
        <is>
          <t>PV-C10-762M-BC</t>
        </is>
      </c>
      <c r="B29" s="12" t="inlineStr">
        <is>
          <t>Cable Fotovoltaico negro PV Wire carrete 762 mts 10AWG 2000V De 19 hilos</t>
        </is>
      </c>
      <c r="C29" s="14" t="n">
        <v>7</v>
      </c>
      <c r="D29" s="12" t="inlineStr">
        <is>
          <t>—</t>
        </is>
      </c>
      <c r="E29" s="12" t="inlineStr"/>
      <c r="F29" s="15" t="n">
        <v>612.8200000000001</v>
      </c>
      <c r="G29" s="12" t="inlineStr">
        <is>
          <t>FFFFFF00</t>
        </is>
      </c>
      <c r="H29" s="12" t="inlineStr">
        <is>
          <t>Color C (amarillo)</t>
        </is>
      </c>
      <c r="I29" s="16">
        <f>C29*F29</f>
        <v/>
      </c>
      <c r="J29" s="16">
        <f>I29*tc_actual</f>
        <v/>
      </c>
    </row>
    <row r="30">
      <c r="A30" s="12" t="inlineStr">
        <is>
          <t>PV-C12-762M-BC</t>
        </is>
      </c>
      <c r="B30" s="12" t="inlineStr">
        <is>
          <t>Cable Fotovoltaico Negro PV wire carrete 762 mts 12AWG 2000V de 19 hilos</t>
        </is>
      </c>
      <c r="C30" s="14" t="n">
        <v>10</v>
      </c>
      <c r="D30" s="12" t="inlineStr">
        <is>
          <t>—</t>
        </is>
      </c>
      <c r="E30" s="12" t="inlineStr"/>
      <c r="F30" s="15" t="n">
        <v>421.81</v>
      </c>
      <c r="G30" s="12" t="inlineStr">
        <is>
          <t>theme:9</t>
        </is>
      </c>
      <c r="H30" s="12" t="inlineStr">
        <is>
          <t>Color A (lote más frecuente)</t>
        </is>
      </c>
      <c r="I30" s="16">
        <f>C30*F30</f>
        <v/>
      </c>
      <c r="J30" s="16">
        <f>I30*tc_actual</f>
        <v/>
      </c>
    </row>
    <row r="31">
      <c r="A31" s="12" t="inlineStr">
        <is>
          <t>PV-C12-762M-BC</t>
        </is>
      </c>
      <c r="B31" s="12" t="inlineStr">
        <is>
          <t>Cable Fotovoltaico Negro PV wire carrete 762 mts 12AWG 2000V de 19 hilos</t>
        </is>
      </c>
      <c r="C31" s="14" t="n">
        <v>10</v>
      </c>
      <c r="D31" s="12" t="inlineStr">
        <is>
          <t>—</t>
        </is>
      </c>
      <c r="E31" s="12" t="inlineStr"/>
      <c r="F31" s="15" t="n">
        <v>421.81</v>
      </c>
      <c r="G31" s="12" t="inlineStr">
        <is>
          <t>FFFFFF00</t>
        </is>
      </c>
      <c r="H31" s="12" t="inlineStr">
        <is>
          <t>Color C (amarillo)</t>
        </is>
      </c>
      <c r="I31" s="16">
        <f>C31*F31</f>
        <v/>
      </c>
      <c r="J31" s="16">
        <f>I31*tc_actual</f>
        <v/>
      </c>
    </row>
    <row r="32">
      <c r="A32" s="12" t="inlineStr">
        <is>
          <t>JA-M66D45-620/LB</t>
        </is>
      </c>
      <c r="B32" s="12" t="inlineStr">
        <is>
          <t>Panel Solar JA Solar N-Type Double Glass Bifacialde 620W</t>
        </is>
      </c>
      <c r="C32" s="13" t="n">
        <v>1546</v>
      </c>
      <c r="D32" s="13" t="n">
        <v>15</v>
      </c>
      <c r="E32" s="19" t="inlineStr">
        <is>
          <t>Cliente confirma 1546 paneles, no 15 (error de captura original)</t>
        </is>
      </c>
      <c r="F32" s="15" t="n">
        <v>76.88</v>
      </c>
      <c r="G32" s="12" t="inlineStr">
        <is>
          <t>FFFFFF00</t>
        </is>
      </c>
      <c r="H32" s="12" t="inlineStr">
        <is>
          <t>Color C (amarillo)</t>
        </is>
      </c>
      <c r="I32" s="16">
        <f>C32*F32</f>
        <v/>
      </c>
      <c r="J32" s="16">
        <f>I32*tc_actual</f>
        <v/>
      </c>
    </row>
    <row r="33">
      <c r="A33" s="12" t="inlineStr">
        <is>
          <t>NXT-RX-4800-MILL</t>
        </is>
      </c>
      <c r="B33" s="12" t="inlineStr">
        <is>
          <t>Perfil NetRail 4.80m, mill finish, Aluminio 6105-T6</t>
        </is>
      </c>
      <c r="C33" s="14" t="n">
        <v>245</v>
      </c>
      <c r="D33" s="12" t="inlineStr">
        <is>
          <t>—</t>
        </is>
      </c>
      <c r="E33" s="12" t="inlineStr"/>
      <c r="F33" s="15" t="n">
        <v>25.64</v>
      </c>
      <c r="G33" s="12" t="inlineStr">
        <is>
          <t>theme:9</t>
        </is>
      </c>
      <c r="H33" s="12" t="inlineStr">
        <is>
          <t>Color A (lote más frecuente)</t>
        </is>
      </c>
      <c r="I33" s="16">
        <f>C33*F33</f>
        <v/>
      </c>
      <c r="J33" s="16">
        <f>I33*tc_actual</f>
        <v/>
      </c>
    </row>
    <row r="34">
      <c r="A34" s="12" t="inlineStr">
        <is>
          <t>NXT-RX-4800-MILL</t>
        </is>
      </c>
      <c r="B34" s="12" t="inlineStr">
        <is>
          <t>Perfil NetRail 4.80m, mill finish, Aluminio 6105-T6</t>
        </is>
      </c>
      <c r="C34" s="14" t="n">
        <v>245</v>
      </c>
      <c r="D34" s="12" t="inlineStr">
        <is>
          <t>—</t>
        </is>
      </c>
      <c r="E34" s="12" t="inlineStr"/>
      <c r="F34" s="15" t="n">
        <v>25.64</v>
      </c>
      <c r="G34" s="12" t="inlineStr">
        <is>
          <t>theme:8</t>
        </is>
      </c>
      <c r="H34" s="12" t="inlineStr">
        <is>
          <t>Color B</t>
        </is>
      </c>
      <c r="I34" s="16">
        <f>C34*F34</f>
        <v/>
      </c>
      <c r="J34" s="16">
        <f>I34*tc_actual</f>
        <v/>
      </c>
    </row>
    <row r="35">
      <c r="A35" s="12" t="inlineStr">
        <is>
          <t>NXT-RX-4800-MILL</t>
        </is>
      </c>
      <c r="B35" s="12" t="inlineStr">
        <is>
          <t>Perfil NetRail 4.80m, mill finish, Aluminio 6105-T6</t>
        </is>
      </c>
      <c r="C35" s="14" t="n">
        <v>385</v>
      </c>
      <c r="D35" s="12" t="inlineStr">
        <is>
          <t>—</t>
        </is>
      </c>
      <c r="E35" s="12" t="inlineStr"/>
      <c r="F35" s="15" t="n">
        <v>25.51</v>
      </c>
      <c r="G35" s="12" t="inlineStr">
        <is>
          <t>theme:9</t>
        </is>
      </c>
      <c r="H35" s="12" t="inlineStr">
        <is>
          <t>Color A (lote más frecuente)</t>
        </is>
      </c>
      <c r="I35" s="16">
        <f>C35*F35</f>
        <v/>
      </c>
      <c r="J35" s="16">
        <f>I35*tc_actual</f>
        <v/>
      </c>
    </row>
    <row r="36">
      <c r="A36" s="12" t="inlineStr">
        <is>
          <t>NXT-RX-4800-MILL</t>
        </is>
      </c>
      <c r="B36" s="12" t="inlineStr">
        <is>
          <t>Perfil NetRail 4.80m, mill finish, Aluminio 6105-T6</t>
        </is>
      </c>
      <c r="C36" s="14" t="n">
        <v>245</v>
      </c>
      <c r="D36" s="12" t="inlineStr">
        <is>
          <t>—</t>
        </is>
      </c>
      <c r="E36" s="12" t="inlineStr"/>
      <c r="F36" s="15" t="n">
        <v>25.64</v>
      </c>
      <c r="G36" s="12" t="inlineStr">
        <is>
          <t>FFFFFF00</t>
        </is>
      </c>
      <c r="H36" s="12" t="inlineStr">
        <is>
          <t>Color C (amarillo)</t>
        </is>
      </c>
      <c r="I36" s="16">
        <f>C36*F36</f>
        <v/>
      </c>
      <c r="J36" s="16">
        <f>I36*tc_actual</f>
        <v/>
      </c>
    </row>
    <row r="37">
      <c r="A37" s="12" t="inlineStr">
        <is>
          <t>NXT-GC-1-UL</t>
        </is>
      </c>
      <c r="B37" s="12" t="inlineStr">
        <is>
          <t>Terminal de conexión a tierra para 2 cables, Next Rail con certificiación UL.</t>
        </is>
      </c>
      <c r="C37" s="14" t="n">
        <v>300</v>
      </c>
      <c r="D37" s="12" t="inlineStr">
        <is>
          <t>—</t>
        </is>
      </c>
      <c r="E37" s="12" t="inlineStr"/>
      <c r="F37" s="15" t="n">
        <v>2.19</v>
      </c>
      <c r="G37" s="12" t="inlineStr">
        <is>
          <t>theme:9</t>
        </is>
      </c>
      <c r="H37" s="12" t="inlineStr">
        <is>
          <t>Color A (lote más frecuente)</t>
        </is>
      </c>
      <c r="I37" s="16">
        <f>C37*F37</f>
        <v/>
      </c>
      <c r="J37" s="16">
        <f>I37*tc_actual</f>
        <v/>
      </c>
    </row>
    <row r="38">
      <c r="A38" s="12" t="inlineStr">
        <is>
          <t>NXT-GC-1-UL</t>
        </is>
      </c>
      <c r="B38" s="12" t="inlineStr">
        <is>
          <t>Terminal de conexión a tierra para 2 cables, Next Rail con certificiación UL.</t>
        </is>
      </c>
      <c r="C38" s="14" t="n">
        <v>300</v>
      </c>
      <c r="D38" s="12" t="inlineStr">
        <is>
          <t>—</t>
        </is>
      </c>
      <c r="E38" s="12" t="inlineStr"/>
      <c r="F38" s="15" t="n">
        <v>2.19</v>
      </c>
      <c r="G38" s="12" t="inlineStr">
        <is>
          <t>theme:8</t>
        </is>
      </c>
      <c r="H38" s="12" t="inlineStr">
        <is>
          <t>Color B</t>
        </is>
      </c>
      <c r="I38" s="16">
        <f>C38*F38</f>
        <v/>
      </c>
      <c r="J38" s="16">
        <f>I38*tc_actual</f>
        <v/>
      </c>
    </row>
    <row r="39">
      <c r="A39" s="12" t="inlineStr">
        <is>
          <t>NXT-GC-1-UL</t>
        </is>
      </c>
      <c r="B39" s="12" t="inlineStr">
        <is>
          <t>Terminal de conexión a tierra para 2 cables, Next Rail con certificiación UL.</t>
        </is>
      </c>
      <c r="C39" s="14" t="n">
        <v>50</v>
      </c>
      <c r="D39" s="12" t="inlineStr">
        <is>
          <t>—</t>
        </is>
      </c>
      <c r="E39" s="12" t="inlineStr"/>
      <c r="F39" s="15" t="n">
        <v>2.19</v>
      </c>
      <c r="G39" s="12" t="inlineStr">
        <is>
          <t>theme:9</t>
        </is>
      </c>
      <c r="H39" s="12" t="inlineStr">
        <is>
          <t>Color A (lote más frecuente)</t>
        </is>
      </c>
      <c r="I39" s="16">
        <f>C39*F39</f>
        <v/>
      </c>
      <c r="J39" s="16">
        <f>I39*tc_actual</f>
        <v/>
      </c>
    </row>
    <row r="40">
      <c r="A40" s="12" t="inlineStr">
        <is>
          <t>NXT-GC-1-UL</t>
        </is>
      </c>
      <c r="B40" s="12" t="inlineStr">
        <is>
          <t>Terminal de conexión a tierra para 2 cables, Next Rail con certificiación UL.</t>
        </is>
      </c>
      <c r="C40" s="14" t="n">
        <v>300</v>
      </c>
      <c r="D40" s="12" t="inlineStr">
        <is>
          <t>—</t>
        </is>
      </c>
      <c r="E40" s="12" t="inlineStr"/>
      <c r="F40" s="15" t="n">
        <v>2.19</v>
      </c>
      <c r="G40" s="12" t="inlineStr">
        <is>
          <t>FFFFFF00</t>
        </is>
      </c>
      <c r="H40" s="12" t="inlineStr">
        <is>
          <t>Color C (amarillo)</t>
        </is>
      </c>
      <c r="I40" s="16">
        <f>C40*F40</f>
        <v/>
      </c>
      <c r="J40" s="16">
        <f>I40*tc_actual</f>
        <v/>
      </c>
    </row>
    <row r="41">
      <c r="A41" s="17" t="n"/>
      <c r="B41" s="17" t="inlineStr">
        <is>
          <t>TOTAL</t>
        </is>
      </c>
      <c r="C41" s="17" t="n"/>
      <c r="D41" s="17" t="n"/>
      <c r="E41" s="17" t="n"/>
      <c r="F41" s="17" t="n"/>
      <c r="G41" s="17" t="n"/>
      <c r="H41" s="17" t="n"/>
      <c r="I41" s="18">
        <f>SUM(I2:I40)</f>
        <v/>
      </c>
      <c r="J41" s="18">
        <f>SUM(J2:J40)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2026-05-06T19:41:57Z</dcterms:created>
  <dcterms:modified xmlns:dcterms="http://purl.org/dc/terms/" xmlns:xsi="http://www.w3.org/2001/XMLSchema-instance" xsi:type="dcterms:W3CDTF">2026-05-06T19:41:57Z</dcterms:modified>
</cp:coreProperties>
</file>