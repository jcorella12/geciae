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51A18B8-1CD0-4717-85CD-CBF59918F29D}" xr6:coauthVersionLast="47" xr6:coauthVersionMax="47" xr10:uidLastSave="{00000000-0000-0000-0000-000000000000}"/>
  <bookViews>
    <workbookView xWindow="-51720" yWindow="-120" windowWidth="51840" windowHeight="21120" xr2:uid="{001622EC-2EE8-4AF6-AB98-4858F5EDCF6B}"/>
  </bookViews>
  <sheets>
    <sheet name="Hoja1" sheetId="1" r:id="rId1"/>
    <sheet name="Sheet1" sheetId="2" r:id="rId2"/>
  </sheets>
  <definedNames>
    <definedName name="_xlnm._FilterDatabase" localSheetId="0" hidden="1">Hoja1!$A$2:$I$2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H28" i="1" s="1"/>
  <c r="I28" i="1" s="1"/>
  <c r="F25" i="1"/>
  <c r="H25" i="1" s="1"/>
  <c r="I25" i="1" s="1"/>
  <c r="F41" i="1"/>
  <c r="H41" i="1" s="1"/>
  <c r="I41" i="1" s="1"/>
  <c r="F22" i="1"/>
  <c r="H22" i="1" s="1"/>
  <c r="I22" i="1" s="1"/>
  <c r="F14" i="1"/>
  <c r="H14" i="1" s="1"/>
  <c r="I14" i="1" s="1"/>
  <c r="F6" i="1"/>
  <c r="H6" i="1" s="1"/>
  <c r="I6" i="1" s="1"/>
  <c r="F10" i="1"/>
  <c r="H10" i="1" s="1"/>
  <c r="I10" i="1" s="1"/>
  <c r="F37" i="1"/>
  <c r="H37" i="1" s="1"/>
  <c r="I37" i="1" s="1"/>
  <c r="F19" i="1"/>
  <c r="H19" i="1" s="1"/>
  <c r="I19" i="1" s="1"/>
  <c r="F30" i="1"/>
  <c r="H30" i="1" s="1"/>
  <c r="I30" i="1" s="1"/>
  <c r="F32" i="1"/>
  <c r="H32" i="1" s="1"/>
  <c r="I32" i="1" s="1"/>
  <c r="F33" i="1"/>
  <c r="H33" i="1" s="1"/>
  <c r="F9" i="1"/>
  <c r="H9" i="1" s="1"/>
  <c r="I9" i="1" s="1"/>
  <c r="F5" i="1"/>
  <c r="H5" i="1" s="1"/>
  <c r="I5" i="1" s="1"/>
  <c r="F13" i="1"/>
  <c r="H13" i="1" s="1"/>
  <c r="I13" i="1" s="1"/>
  <c r="F18" i="1"/>
  <c r="H18" i="1" s="1"/>
  <c r="I18" i="1" s="1"/>
  <c r="F40" i="1"/>
  <c r="H40" i="1" s="1"/>
  <c r="I40" i="1" s="1"/>
  <c r="F15" i="1"/>
  <c r="H15" i="1" s="1"/>
  <c r="I15" i="1" s="1"/>
  <c r="F36" i="1"/>
  <c r="H36" i="1" s="1"/>
  <c r="I36" i="1" s="1"/>
  <c r="F8" i="1"/>
  <c r="H8" i="1" s="1"/>
  <c r="I8" i="1" s="1"/>
  <c r="F4" i="1"/>
  <c r="H4" i="1" s="1"/>
  <c r="I4" i="1" s="1"/>
  <c r="F12" i="1"/>
  <c r="H12" i="1" s="1"/>
  <c r="I12" i="1" s="1"/>
  <c r="F21" i="1"/>
  <c r="H21" i="1" s="1"/>
  <c r="I21" i="1" s="1"/>
  <c r="F39" i="1"/>
  <c r="H39" i="1" s="1"/>
  <c r="I39" i="1" s="1"/>
  <c r="F24" i="1"/>
  <c r="H24" i="1" s="1"/>
  <c r="I24" i="1" s="1"/>
  <c r="F27" i="1"/>
  <c r="H27" i="1" s="1"/>
  <c r="I27" i="1" s="1"/>
  <c r="F35" i="1"/>
  <c r="H35" i="1" s="1"/>
  <c r="I35" i="1" s="1"/>
  <c r="F17" i="1"/>
  <c r="H17" i="1" s="1"/>
  <c r="I17" i="1" s="1"/>
  <c r="F26" i="1"/>
  <c r="H26" i="1" s="1"/>
  <c r="I26" i="1" s="1"/>
  <c r="F23" i="1"/>
  <c r="H23" i="1" s="1"/>
  <c r="I23" i="1" s="1"/>
  <c r="F38" i="1"/>
  <c r="H38" i="1" s="1"/>
  <c r="I38" i="1" s="1"/>
  <c r="F20" i="1"/>
  <c r="H20" i="1" s="1"/>
  <c r="I20" i="1" s="1"/>
  <c r="F11" i="1"/>
  <c r="H11" i="1" s="1"/>
  <c r="I11" i="1" s="1"/>
  <c r="F3" i="1"/>
  <c r="H3" i="1" s="1"/>
  <c r="I3" i="1" s="1"/>
  <c r="F7" i="1"/>
  <c r="H7" i="1" s="1"/>
  <c r="I7" i="1" s="1"/>
  <c r="F34" i="1"/>
  <c r="H34" i="1" s="1"/>
  <c r="I34" i="1" s="1"/>
  <c r="F16" i="1"/>
  <c r="H16" i="1" s="1"/>
  <c r="I16" i="1" s="1"/>
  <c r="F29" i="1"/>
  <c r="H29" i="1" s="1"/>
  <c r="I29" i="1" s="1"/>
  <c r="F31" i="1"/>
  <c r="H31" i="1" s="1"/>
  <c r="I31" i="1" s="1"/>
  <c r="I33" i="1" l="1"/>
</calcChain>
</file>

<file path=xl/sharedStrings.xml><?xml version="1.0" encoding="utf-8"?>
<sst xmlns="http://schemas.openxmlformats.org/spreadsheetml/2006/main" count="161" uniqueCount="80">
  <si>
    <t>CODIGO</t>
  </si>
  <si>
    <t>DESCRIPCION</t>
  </si>
  <si>
    <t>EXISTENCIA INICIAL</t>
  </si>
  <si>
    <t>ENTRADA</t>
  </si>
  <si>
    <t>SALIDA</t>
  </si>
  <si>
    <t>STOK</t>
  </si>
  <si>
    <t>PRECIO UNITARIO</t>
  </si>
  <si>
    <t>PV-C12-762M-BC</t>
  </si>
  <si>
    <t>Cable Fotovoltaico Negro PV wire carrete 762 mts 12AWG 2000V de 19 hilos</t>
  </si>
  <si>
    <t>PV-C10-762M-BC</t>
  </si>
  <si>
    <t>Cable Fotovoltaico negro PV Wire carrete 762 mts 10AWG 2000V De 19 hilos</t>
  </si>
  <si>
    <t>NXT-AUA-30/46-2</t>
  </si>
  <si>
    <t>2 Abrazaderas universales de Aluminio para paneles de 30-46mm</t>
  </si>
  <si>
    <t>NXT-RX-4800-MILL</t>
  </si>
  <si>
    <t>Perfil NetRail 4.80m, mill finish, Aluminio 6105-T6</t>
  </si>
  <si>
    <t>NXT-RS</t>
  </si>
  <si>
    <t>1 empalme de riel con puesta a tierra para Next Rail NXT-RX.</t>
  </si>
  <si>
    <t xml:space="preserve">NXT-TILT </t>
  </si>
  <si>
    <t>1 Conector para riel inclinado</t>
  </si>
  <si>
    <t xml:space="preserve">NXT-LFOOT </t>
  </si>
  <si>
    <t>1 Soporte "L" de 95 mm de altura para Nxt-Rail</t>
  </si>
  <si>
    <t xml:space="preserve">NXT-CRC-4 </t>
  </si>
  <si>
    <t>4 Clips de conexión para Next Rail</t>
  </si>
  <si>
    <t xml:space="preserve">NXT-GC-1-UL </t>
  </si>
  <si>
    <t>Terminal de conexión a tierra para 2 cables, Next Rail con certificiación UL.</t>
  </si>
  <si>
    <t xml:space="preserve">NXT-TB-M8x25-5 </t>
  </si>
  <si>
    <t>5 Tbolt M8x25 Acero Inoxidable con tuerca para NextRail</t>
  </si>
  <si>
    <t xml:space="preserve">NXT-AR-4000 </t>
  </si>
  <si>
    <t>Ángulo-Riel 4.0m, Alu 6105-T6</t>
  </si>
  <si>
    <t>JA-M66D45-620/LB</t>
  </si>
  <si>
    <t>Panel Solar JA Solar N-Type Double Glass Bifacialde 620W</t>
  </si>
  <si>
    <t>PV-10PC10-1500</t>
  </si>
  <si>
    <t>10 Conectores MC4, 5 Hembras y 5 Macho cable 14-10AWG, 1500 Vdc</t>
  </si>
  <si>
    <t>PRECIO TOTAL DLLS</t>
  </si>
  <si>
    <t>T.C.</t>
  </si>
  <si>
    <t xml:space="preserve">Total Pesos </t>
  </si>
  <si>
    <t>antes de IVA</t>
  </si>
  <si>
    <t>NXT-TBM8x25-5</t>
  </si>
  <si>
    <t>GROWATT</t>
  </si>
  <si>
    <t>Growatt MAC 15 KTL3</t>
  </si>
  <si>
    <t>GROWATT MIN 10 TL-X</t>
  </si>
  <si>
    <t>GROWATT MIN 8 TLJ-X</t>
  </si>
  <si>
    <t>GROWATT MIN 5 TL-X</t>
  </si>
  <si>
    <t>GROWATT MIN 6 TL-X</t>
  </si>
  <si>
    <t>GROWATT MIC 3kW</t>
  </si>
  <si>
    <t>GROWATT 2kW</t>
  </si>
  <si>
    <t>GROWATT SPF 3kW AISLADO</t>
  </si>
  <si>
    <t>GOODWE</t>
  </si>
  <si>
    <t>GOODWE 8.5 kW</t>
  </si>
  <si>
    <t>CANADIAN SOLAR</t>
  </si>
  <si>
    <t>APSYSTEMS</t>
  </si>
  <si>
    <t>APS DS3D-2000W</t>
  </si>
  <si>
    <t>MS-US 5 KW 2 MPPT</t>
  </si>
  <si>
    <t>MS-US 6 KW 2 MPPT</t>
  </si>
  <si>
    <t>MS-US 7.6 KW 2 MPPT</t>
  </si>
  <si>
    <t>MS-US 9.6 KW 3MPPT</t>
  </si>
  <si>
    <t>MS-US 11.4 KW 3 MPPT</t>
  </si>
  <si>
    <t>APS-BUS CABLE CAL 10</t>
  </si>
  <si>
    <t>CAL 10</t>
  </si>
  <si>
    <t>MICROINVERSOR APS-DS3-H-1050W-220V</t>
  </si>
  <si>
    <t>APS-ECU-R SISTEMA DE MONITOREO</t>
  </si>
  <si>
    <t>PARA 100</t>
  </si>
  <si>
    <t>MICROINVERSOR APS-DS3D-2000W-220V</t>
  </si>
  <si>
    <t>APS-ENDCAP TAPA EXTREMA FINAL</t>
  </si>
  <si>
    <t>MAC 30KTL3-XL INVERSOR GROWATT</t>
  </si>
  <si>
    <t>MAC 36KTL3-XL INVERSOR CENTRAL</t>
  </si>
  <si>
    <t>Inversor CSI 3K</t>
  </si>
  <si>
    <t>Inversor CSI 5K</t>
  </si>
  <si>
    <t>Inversor CSI 7K</t>
  </si>
  <si>
    <t>Inversor CSI 9K</t>
  </si>
  <si>
    <t>CABLEADO FV 12 AWG</t>
  </si>
  <si>
    <t>Cableado Fotovoltaico calibre 12 negro</t>
  </si>
  <si>
    <t>Metros</t>
  </si>
  <si>
    <t>CABLEADO FV 10 AWG</t>
  </si>
  <si>
    <t>Cableado fotovoltaico calibre 10 negro</t>
  </si>
  <si>
    <t>Potencia W</t>
  </si>
  <si>
    <t>Precio x watt</t>
  </si>
  <si>
    <t>Precio unidad</t>
  </si>
  <si>
    <t>Valor Total</t>
  </si>
  <si>
    <t>Valor en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</si>
</sst>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2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4" fontId="2" fillId="0" borderId="1" xfId="2" applyFont="1" applyBorder="1" applyAlignment="1">
      <alignment horizontal="center" vertical="center" wrapText="1"/>
    </xf>
    <xf numFmtId="0" fontId="0" fillId="2" borderId="1" xfId="0" applyFill="1" applyBorder="1"/>
    <xf numFmtId="44" fontId="0" fillId="2" borderId="1" xfId="2" applyFont="1" applyFill="1" applyBorder="1"/>
    <xf numFmtId="0" fontId="0" fillId="3" borderId="1" xfId="0" applyFill="1" applyBorder="1"/>
    <xf numFmtId="44" fontId="0" fillId="3" borderId="1" xfId="2" applyFont="1" applyFill="1" applyBorder="1"/>
    <xf numFmtId="44" fontId="0" fillId="0" borderId="0" xfId="0" applyNumberFormat="1"/>
    <xf numFmtId="44" fontId="3" fillId="4" borderId="1" xfId="2" applyFont="1" applyFill="1" applyBorder="1"/>
    <xf numFmtId="44" fontId="3" fillId="4" borderId="1" xfId="0" applyNumberFormat="1" applyFont="1" applyFill="1" applyBorder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44" fontId="2" fillId="0" borderId="0" xfId="2" applyFont="1" applyFill="1" applyBorder="1" applyAlignment="1">
      <alignment horizontal="center" vertical="center" wrapText="1"/>
    </xf>
    <xf numFmtId="0" fontId="0" fillId="5" borderId="1" xfId="0" applyFill="1" applyBorder="1"/>
    <xf numFmtId="44" fontId="0" fillId="5" borderId="1" xfId="2" applyFont="1" applyFill="1" applyBorder="1"/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6E7B-BF9E-4F99-A371-0BE475D278EE}">
  <dimension ref="A1:L47"/>
  <sheetViews>
    <sheetView tabSelected="1" workbookViewId="0">
      <selection activeCell="I5" sqref="I5"/>
    </sheetView>
  </sheetViews>
  <sheetFormatPr defaultColWidth="11.42578125" defaultRowHeight="15" x14ac:dyDescent="0.25"/>
  <cols>
    <col min="1" max="1" width="32.28515625" customWidth="1"/>
    <col min="2" max="2" width="75.7109375" bestFit="1" customWidth="1"/>
    <col min="3" max="3" width="11.140625" bestFit="1" customWidth="1"/>
    <col min="4" max="4" width="9.42578125" bestFit="1" customWidth="1"/>
    <col min="5" max="5" width="7.28515625" bestFit="1" customWidth="1"/>
    <col min="6" max="6" width="5.5703125" bestFit="1" customWidth="1"/>
    <col min="7" max="7" width="14.140625" bestFit="1" customWidth="1"/>
    <col min="8" max="8" width="14.85546875" bestFit="1" customWidth="1"/>
    <col min="9" max="9" width="16" bestFit="1" customWidth="1"/>
    <col min="10" max="10" width="14.140625" bestFit="1" customWidth="1"/>
    <col min="11" max="11" width="12.5703125" bestFit="1" customWidth="1"/>
    <col min="12" max="12" width="14.140625" bestFit="1" customWidth="1"/>
  </cols>
  <sheetData>
    <row r="1" spans="1:12" x14ac:dyDescent="0.25">
      <c r="A1" t="s">
        <v>36</v>
      </c>
      <c r="H1" t="s">
        <v>34</v>
      </c>
      <c r="I1">
        <v>17.47</v>
      </c>
    </row>
    <row r="2" spans="1:12" ht="30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4" t="s">
        <v>6</v>
      </c>
      <c r="H2" s="4" t="s">
        <v>33</v>
      </c>
      <c r="I2" s="4" t="s">
        <v>35</v>
      </c>
      <c r="K2" s="15"/>
      <c r="L2" s="15"/>
    </row>
    <row r="3" spans="1:12" x14ac:dyDescent="0.25">
      <c r="A3" s="7" t="s">
        <v>17</v>
      </c>
      <c r="B3" s="7" t="s">
        <v>18</v>
      </c>
      <c r="C3" s="7">
        <v>0</v>
      </c>
      <c r="D3" s="7">
        <v>300</v>
      </c>
      <c r="E3" s="7">
        <v>0</v>
      </c>
      <c r="F3" s="7">
        <f t="shared" ref="F3:F32" si="0">+(C3+D3)-E3</f>
        <v>300</v>
      </c>
      <c r="G3" s="8">
        <v>3.18</v>
      </c>
      <c r="H3" s="8">
        <f t="shared" ref="H3:H32" si="1">+F3*G3</f>
        <v>954</v>
      </c>
      <c r="I3" s="8">
        <f t="shared" ref="I3:I32" si="2">+H3*$I$1</f>
        <v>16666.379999999997</v>
      </c>
      <c r="K3" s="9"/>
      <c r="L3" s="9"/>
    </row>
    <row r="4" spans="1:12" x14ac:dyDescent="0.25">
      <c r="A4" s="5" t="s">
        <v>17</v>
      </c>
      <c r="B4" s="5" t="s">
        <v>18</v>
      </c>
      <c r="C4" s="5">
        <v>0</v>
      </c>
      <c r="D4" s="5">
        <v>300</v>
      </c>
      <c r="E4" s="5">
        <v>0</v>
      </c>
      <c r="F4" s="5">
        <f t="shared" si="0"/>
        <v>300</v>
      </c>
      <c r="G4" s="6">
        <v>3.18</v>
      </c>
      <c r="H4" s="6">
        <f t="shared" si="1"/>
        <v>954</v>
      </c>
      <c r="I4" s="6">
        <f t="shared" si="2"/>
        <v>16666.379999999997</v>
      </c>
      <c r="K4" s="9"/>
      <c r="L4" s="9"/>
    </row>
    <row r="5" spans="1:12" x14ac:dyDescent="0.25">
      <c r="A5" s="7" t="s">
        <v>17</v>
      </c>
      <c r="B5" s="7" t="s">
        <v>18</v>
      </c>
      <c r="C5" s="7">
        <v>0</v>
      </c>
      <c r="D5" s="7">
        <v>315</v>
      </c>
      <c r="E5" s="7">
        <v>0</v>
      </c>
      <c r="F5" s="7">
        <f t="shared" si="0"/>
        <v>315</v>
      </c>
      <c r="G5" s="8">
        <v>3.16</v>
      </c>
      <c r="H5" s="8">
        <f t="shared" si="1"/>
        <v>995.40000000000009</v>
      </c>
      <c r="I5" s="8">
        <f t="shared" si="2"/>
        <v>17389.637999999999</v>
      </c>
      <c r="K5" s="9"/>
      <c r="L5" s="9"/>
    </row>
    <row r="6" spans="1:12" x14ac:dyDescent="0.25">
      <c r="A6" s="16" t="s">
        <v>17</v>
      </c>
      <c r="B6" s="16" t="s">
        <v>18</v>
      </c>
      <c r="C6" s="16">
        <v>0</v>
      </c>
      <c r="D6" s="16">
        <v>300</v>
      </c>
      <c r="E6" s="16">
        <v>0</v>
      </c>
      <c r="F6" s="16">
        <f t="shared" si="0"/>
        <v>300</v>
      </c>
      <c r="G6" s="17">
        <v>3.18</v>
      </c>
      <c r="H6" s="17">
        <f t="shared" si="1"/>
        <v>954</v>
      </c>
      <c r="I6" s="17">
        <f t="shared" si="2"/>
        <v>16666.379999999997</v>
      </c>
      <c r="K6" s="9"/>
      <c r="L6" s="9"/>
    </row>
    <row r="7" spans="1:12" x14ac:dyDescent="0.25">
      <c r="A7" s="7" t="s">
        <v>15</v>
      </c>
      <c r="B7" s="7" t="s">
        <v>16</v>
      </c>
      <c r="C7" s="7">
        <v>0</v>
      </c>
      <c r="D7" s="7">
        <v>300</v>
      </c>
      <c r="E7" s="7">
        <v>0</v>
      </c>
      <c r="F7" s="7">
        <f t="shared" si="0"/>
        <v>300</v>
      </c>
      <c r="G7" s="8">
        <v>2.79</v>
      </c>
      <c r="H7" s="8">
        <f t="shared" si="1"/>
        <v>837</v>
      </c>
      <c r="I7" s="8">
        <f t="shared" si="2"/>
        <v>14622.39</v>
      </c>
    </row>
    <row r="8" spans="1:12" x14ac:dyDescent="0.25">
      <c r="A8" s="5" t="s">
        <v>15</v>
      </c>
      <c r="B8" s="5" t="s">
        <v>16</v>
      </c>
      <c r="C8" s="5">
        <v>0</v>
      </c>
      <c r="D8" s="5">
        <v>300</v>
      </c>
      <c r="E8" s="5">
        <v>0</v>
      </c>
      <c r="F8" s="5">
        <f t="shared" si="0"/>
        <v>300</v>
      </c>
      <c r="G8" s="6">
        <v>2.79</v>
      </c>
      <c r="H8" s="6">
        <f t="shared" si="1"/>
        <v>837</v>
      </c>
      <c r="I8" s="6">
        <f t="shared" si="2"/>
        <v>14622.39</v>
      </c>
    </row>
    <row r="9" spans="1:12" x14ac:dyDescent="0.25">
      <c r="A9" s="7" t="s">
        <v>15</v>
      </c>
      <c r="B9" s="7" t="s">
        <v>16</v>
      </c>
      <c r="C9" s="7">
        <v>0</v>
      </c>
      <c r="D9" s="7">
        <v>315</v>
      </c>
      <c r="E9" s="7">
        <v>0</v>
      </c>
      <c r="F9" s="7">
        <f t="shared" si="0"/>
        <v>315</v>
      </c>
      <c r="G9" s="8">
        <v>2.78</v>
      </c>
      <c r="H9" s="8">
        <f t="shared" si="1"/>
        <v>875.69999999999993</v>
      </c>
      <c r="I9" s="8">
        <f t="shared" si="2"/>
        <v>15298.478999999998</v>
      </c>
    </row>
    <row r="10" spans="1:12" x14ac:dyDescent="0.25">
      <c r="A10" s="16" t="s">
        <v>15</v>
      </c>
      <c r="B10" s="16" t="s">
        <v>16</v>
      </c>
      <c r="C10" s="16">
        <v>0</v>
      </c>
      <c r="D10" s="16">
        <v>300</v>
      </c>
      <c r="E10" s="16">
        <v>0</v>
      </c>
      <c r="F10" s="16">
        <f t="shared" si="0"/>
        <v>300</v>
      </c>
      <c r="G10" s="17">
        <v>2.79</v>
      </c>
      <c r="H10" s="17">
        <f t="shared" si="1"/>
        <v>837</v>
      </c>
      <c r="I10" s="17">
        <f t="shared" si="2"/>
        <v>14622.39</v>
      </c>
    </row>
    <row r="11" spans="1:12" x14ac:dyDescent="0.25">
      <c r="A11" s="7" t="s">
        <v>19</v>
      </c>
      <c r="B11" s="7" t="s">
        <v>20</v>
      </c>
      <c r="C11" s="7">
        <v>0</v>
      </c>
      <c r="D11" s="7">
        <v>110</v>
      </c>
      <c r="E11" s="7">
        <v>0</v>
      </c>
      <c r="F11" s="7">
        <f t="shared" si="0"/>
        <v>110</v>
      </c>
      <c r="G11" s="8">
        <v>2.1800000000000002</v>
      </c>
      <c r="H11" s="8">
        <f t="shared" si="1"/>
        <v>239.8</v>
      </c>
      <c r="I11" s="8">
        <f t="shared" si="2"/>
        <v>4189.3059999999996</v>
      </c>
    </row>
    <row r="12" spans="1:12" x14ac:dyDescent="0.25">
      <c r="A12" s="5" t="s">
        <v>19</v>
      </c>
      <c r="B12" s="5" t="s">
        <v>20</v>
      </c>
      <c r="C12" s="5">
        <v>0</v>
      </c>
      <c r="D12" s="5">
        <v>110</v>
      </c>
      <c r="E12" s="5">
        <v>0</v>
      </c>
      <c r="F12" s="5">
        <f t="shared" si="0"/>
        <v>110</v>
      </c>
      <c r="G12" s="6">
        <v>2.1800000000000002</v>
      </c>
      <c r="H12" s="6">
        <f t="shared" si="1"/>
        <v>239.8</v>
      </c>
      <c r="I12" s="6">
        <f t="shared" si="2"/>
        <v>4189.3059999999996</v>
      </c>
    </row>
    <row r="13" spans="1:12" x14ac:dyDescent="0.25">
      <c r="A13" s="7" t="s">
        <v>19</v>
      </c>
      <c r="B13" s="7" t="s">
        <v>20</v>
      </c>
      <c r="C13" s="7">
        <v>0</v>
      </c>
      <c r="D13" s="7">
        <v>315</v>
      </c>
      <c r="E13" s="7">
        <v>0</v>
      </c>
      <c r="F13" s="7">
        <f t="shared" si="0"/>
        <v>315</v>
      </c>
      <c r="G13" s="8">
        <v>2.17</v>
      </c>
      <c r="H13" s="8">
        <f t="shared" si="1"/>
        <v>683.55</v>
      </c>
      <c r="I13" s="8">
        <f t="shared" si="2"/>
        <v>11941.618499999999</v>
      </c>
    </row>
    <row r="14" spans="1:12" x14ac:dyDescent="0.25">
      <c r="A14" s="16" t="s">
        <v>19</v>
      </c>
      <c r="B14" s="16" t="s">
        <v>20</v>
      </c>
      <c r="C14" s="16">
        <v>0</v>
      </c>
      <c r="D14" s="16">
        <v>110</v>
      </c>
      <c r="E14" s="16">
        <v>0</v>
      </c>
      <c r="F14" s="16">
        <f t="shared" si="0"/>
        <v>110</v>
      </c>
      <c r="G14" s="17">
        <v>2.1800000000000002</v>
      </c>
      <c r="H14" s="17">
        <f t="shared" si="1"/>
        <v>239.8</v>
      </c>
      <c r="I14" s="17">
        <f t="shared" si="2"/>
        <v>4189.3059999999996</v>
      </c>
    </row>
    <row r="15" spans="1:12" x14ac:dyDescent="0.25">
      <c r="A15" s="7" t="s">
        <v>31</v>
      </c>
      <c r="B15" s="7" t="s">
        <v>32</v>
      </c>
      <c r="C15" s="7">
        <v>0</v>
      </c>
      <c r="D15" s="7">
        <v>150</v>
      </c>
      <c r="E15" s="7">
        <v>0</v>
      </c>
      <c r="F15" s="7">
        <f t="shared" si="0"/>
        <v>150</v>
      </c>
      <c r="G15" s="8">
        <v>5.56</v>
      </c>
      <c r="H15" s="8">
        <f t="shared" si="1"/>
        <v>833.99999999999989</v>
      </c>
      <c r="I15" s="8">
        <f t="shared" si="2"/>
        <v>14569.979999999998</v>
      </c>
    </row>
    <row r="16" spans="1:12" x14ac:dyDescent="0.25">
      <c r="A16" s="7" t="s">
        <v>11</v>
      </c>
      <c r="B16" s="7" t="s">
        <v>12</v>
      </c>
      <c r="C16" s="7">
        <v>0</v>
      </c>
      <c r="D16" s="7">
        <v>910</v>
      </c>
      <c r="E16" s="7">
        <v>0</v>
      </c>
      <c r="F16" s="7">
        <f t="shared" si="0"/>
        <v>910</v>
      </c>
      <c r="G16" s="8">
        <v>3.99</v>
      </c>
      <c r="H16" s="8">
        <f t="shared" si="1"/>
        <v>3630.9</v>
      </c>
      <c r="I16" s="8">
        <f t="shared" si="2"/>
        <v>63431.822999999997</v>
      </c>
    </row>
    <row r="17" spans="1:9" x14ac:dyDescent="0.25">
      <c r="A17" s="5" t="s">
        <v>11</v>
      </c>
      <c r="B17" s="5" t="s">
        <v>12</v>
      </c>
      <c r="C17" s="5">
        <v>0</v>
      </c>
      <c r="D17" s="5">
        <v>910</v>
      </c>
      <c r="E17" s="5">
        <v>0</v>
      </c>
      <c r="F17" s="5">
        <f t="shared" si="0"/>
        <v>910</v>
      </c>
      <c r="G17" s="6">
        <v>3.99</v>
      </c>
      <c r="H17" s="6">
        <f t="shared" si="1"/>
        <v>3630.9</v>
      </c>
      <c r="I17" s="6">
        <f t="shared" si="2"/>
        <v>63431.822999999997</v>
      </c>
    </row>
    <row r="18" spans="1:9" x14ac:dyDescent="0.25">
      <c r="A18" s="7" t="s">
        <v>11</v>
      </c>
      <c r="B18" s="7" t="s">
        <v>12</v>
      </c>
      <c r="C18" s="7">
        <v>0</v>
      </c>
      <c r="D18" s="7">
        <v>315</v>
      </c>
      <c r="E18" s="7">
        <v>0</v>
      </c>
      <c r="F18" s="7">
        <f t="shared" si="0"/>
        <v>315</v>
      </c>
      <c r="G18" s="8">
        <v>3.97</v>
      </c>
      <c r="H18" s="8">
        <f t="shared" si="1"/>
        <v>1250.55</v>
      </c>
      <c r="I18" s="8">
        <f t="shared" si="2"/>
        <v>21847.108499999998</v>
      </c>
    </row>
    <row r="19" spans="1:9" x14ac:dyDescent="0.25">
      <c r="A19" s="16" t="s">
        <v>11</v>
      </c>
      <c r="B19" s="16" t="s">
        <v>12</v>
      </c>
      <c r="C19" s="16">
        <v>0</v>
      </c>
      <c r="D19" s="16">
        <v>910</v>
      </c>
      <c r="E19" s="16">
        <v>0</v>
      </c>
      <c r="F19" s="16">
        <f t="shared" si="0"/>
        <v>910</v>
      </c>
      <c r="G19" s="17">
        <v>3.99</v>
      </c>
      <c r="H19" s="17">
        <f t="shared" si="1"/>
        <v>3630.9</v>
      </c>
      <c r="I19" s="17">
        <f t="shared" si="2"/>
        <v>63431.822999999997</v>
      </c>
    </row>
    <row r="20" spans="1:9" x14ac:dyDescent="0.25">
      <c r="A20" s="7" t="s">
        <v>21</v>
      </c>
      <c r="B20" s="7" t="s">
        <v>22</v>
      </c>
      <c r="C20" s="7">
        <v>0</v>
      </c>
      <c r="D20" s="7">
        <v>480</v>
      </c>
      <c r="E20" s="7">
        <v>0</v>
      </c>
      <c r="F20" s="7">
        <f t="shared" si="0"/>
        <v>480</v>
      </c>
      <c r="G20" s="8">
        <v>6.05</v>
      </c>
      <c r="H20" s="8">
        <f t="shared" si="1"/>
        <v>2904</v>
      </c>
      <c r="I20" s="8">
        <f t="shared" si="2"/>
        <v>50732.88</v>
      </c>
    </row>
    <row r="21" spans="1:9" x14ac:dyDescent="0.25">
      <c r="A21" s="5" t="s">
        <v>21</v>
      </c>
      <c r="B21" s="5" t="s">
        <v>22</v>
      </c>
      <c r="C21" s="5">
        <v>0</v>
      </c>
      <c r="D21" s="5">
        <v>480</v>
      </c>
      <c r="E21" s="5">
        <v>0</v>
      </c>
      <c r="F21" s="5">
        <f t="shared" si="0"/>
        <v>480</v>
      </c>
      <c r="G21" s="6">
        <v>6.05</v>
      </c>
      <c r="H21" s="6">
        <f t="shared" si="1"/>
        <v>2904</v>
      </c>
      <c r="I21" s="6">
        <f t="shared" si="2"/>
        <v>50732.88</v>
      </c>
    </row>
    <row r="22" spans="1:9" x14ac:dyDescent="0.25">
      <c r="A22" s="16" t="s">
        <v>21</v>
      </c>
      <c r="B22" s="16" t="s">
        <v>22</v>
      </c>
      <c r="C22" s="16">
        <v>0</v>
      </c>
      <c r="D22" s="16">
        <v>480</v>
      </c>
      <c r="E22" s="16">
        <v>0</v>
      </c>
      <c r="F22" s="16">
        <f t="shared" si="0"/>
        <v>480</v>
      </c>
      <c r="G22" s="17">
        <v>6.05</v>
      </c>
      <c r="H22" s="17">
        <f t="shared" si="1"/>
        <v>2904</v>
      </c>
      <c r="I22" s="17">
        <f t="shared" si="2"/>
        <v>50732.88</v>
      </c>
    </row>
    <row r="23" spans="1:9" x14ac:dyDescent="0.25">
      <c r="A23" s="7" t="s">
        <v>25</v>
      </c>
      <c r="B23" s="7" t="s">
        <v>26</v>
      </c>
      <c r="C23" s="7">
        <v>0</v>
      </c>
      <c r="D23" s="7">
        <v>500</v>
      </c>
      <c r="E23" s="7">
        <v>0</v>
      </c>
      <c r="F23" s="7">
        <f t="shared" si="0"/>
        <v>500</v>
      </c>
      <c r="G23" s="8">
        <v>2.4700000000000002</v>
      </c>
      <c r="H23" s="8">
        <f t="shared" si="1"/>
        <v>1235</v>
      </c>
      <c r="I23" s="8">
        <f t="shared" si="2"/>
        <v>21575.449999999997</v>
      </c>
    </row>
    <row r="24" spans="1:9" x14ac:dyDescent="0.25">
      <c r="A24" s="5" t="s">
        <v>25</v>
      </c>
      <c r="B24" s="5" t="s">
        <v>26</v>
      </c>
      <c r="C24" s="5">
        <v>0</v>
      </c>
      <c r="D24" s="5">
        <v>500</v>
      </c>
      <c r="E24" s="5">
        <v>0</v>
      </c>
      <c r="F24" s="5">
        <f t="shared" si="0"/>
        <v>500</v>
      </c>
      <c r="G24" s="6">
        <v>2.4700000000000002</v>
      </c>
      <c r="H24" s="6">
        <f t="shared" si="1"/>
        <v>1235</v>
      </c>
      <c r="I24" s="6">
        <f t="shared" si="2"/>
        <v>21575.449999999997</v>
      </c>
    </row>
    <row r="25" spans="1:9" x14ac:dyDescent="0.25">
      <c r="A25" s="16" t="s">
        <v>37</v>
      </c>
      <c r="B25" s="16" t="s">
        <v>26</v>
      </c>
      <c r="C25" s="16">
        <v>0</v>
      </c>
      <c r="D25" s="16">
        <v>500</v>
      </c>
      <c r="E25" s="16">
        <v>0</v>
      </c>
      <c r="F25" s="16">
        <f t="shared" si="0"/>
        <v>500</v>
      </c>
      <c r="G25" s="17">
        <v>2.4700000000000002</v>
      </c>
      <c r="H25" s="17">
        <f t="shared" si="1"/>
        <v>1235</v>
      </c>
      <c r="I25" s="17">
        <f t="shared" si="2"/>
        <v>21575.449999999997</v>
      </c>
    </row>
    <row r="26" spans="1:9" x14ac:dyDescent="0.25">
      <c r="A26" s="7" t="s">
        <v>27</v>
      </c>
      <c r="B26" s="7" t="s">
        <v>28</v>
      </c>
      <c r="C26" s="7">
        <v>0</v>
      </c>
      <c r="D26" s="7">
        <v>150</v>
      </c>
      <c r="E26" s="7">
        <v>0</v>
      </c>
      <c r="F26" s="7">
        <f t="shared" si="0"/>
        <v>150</v>
      </c>
      <c r="G26" s="8">
        <v>25.25</v>
      </c>
      <c r="H26" s="8">
        <f t="shared" si="1"/>
        <v>3787.5</v>
      </c>
      <c r="I26" s="8">
        <f t="shared" si="2"/>
        <v>66167.625</v>
      </c>
    </row>
    <row r="27" spans="1:9" x14ac:dyDescent="0.25">
      <c r="A27" s="5" t="s">
        <v>27</v>
      </c>
      <c r="B27" s="5" t="s">
        <v>28</v>
      </c>
      <c r="C27" s="5">
        <v>0</v>
      </c>
      <c r="D27" s="5">
        <v>150</v>
      </c>
      <c r="E27" s="5">
        <v>0</v>
      </c>
      <c r="F27" s="5">
        <f t="shared" si="0"/>
        <v>150</v>
      </c>
      <c r="G27" s="6">
        <v>25.25</v>
      </c>
      <c r="H27" s="6">
        <f t="shared" si="1"/>
        <v>3787.5</v>
      </c>
      <c r="I27" s="6">
        <f t="shared" si="2"/>
        <v>66167.625</v>
      </c>
    </row>
    <row r="28" spans="1:9" x14ac:dyDescent="0.25">
      <c r="A28" s="16" t="s">
        <v>27</v>
      </c>
      <c r="B28" s="16" t="s">
        <v>28</v>
      </c>
      <c r="C28" s="16">
        <v>0</v>
      </c>
      <c r="D28" s="16">
        <v>150</v>
      </c>
      <c r="E28" s="16">
        <v>0</v>
      </c>
      <c r="F28" s="16">
        <f t="shared" si="0"/>
        <v>150</v>
      </c>
      <c r="G28" s="17">
        <v>25.25</v>
      </c>
      <c r="H28" s="17">
        <f t="shared" si="1"/>
        <v>3787.5</v>
      </c>
      <c r="I28" s="17">
        <f t="shared" si="2"/>
        <v>66167.625</v>
      </c>
    </row>
    <row r="29" spans="1:9" x14ac:dyDescent="0.25">
      <c r="A29" s="7" t="s">
        <v>9</v>
      </c>
      <c r="B29" s="7" t="s">
        <v>10</v>
      </c>
      <c r="C29" s="7">
        <v>0</v>
      </c>
      <c r="D29" s="7">
        <v>7</v>
      </c>
      <c r="E29" s="7">
        <v>0</v>
      </c>
      <c r="F29" s="7">
        <f t="shared" si="0"/>
        <v>7</v>
      </c>
      <c r="G29" s="8">
        <v>612.82000000000005</v>
      </c>
      <c r="H29" s="8">
        <f t="shared" si="1"/>
        <v>4289.7400000000007</v>
      </c>
      <c r="I29" s="8">
        <f t="shared" si="2"/>
        <v>74941.757800000007</v>
      </c>
    </row>
    <row r="30" spans="1:9" x14ac:dyDescent="0.25">
      <c r="A30" s="16" t="s">
        <v>9</v>
      </c>
      <c r="B30" s="16" t="s">
        <v>10</v>
      </c>
      <c r="C30" s="16">
        <v>0</v>
      </c>
      <c r="D30" s="16">
        <v>7</v>
      </c>
      <c r="E30" s="16">
        <v>0</v>
      </c>
      <c r="F30" s="16">
        <f t="shared" si="0"/>
        <v>7</v>
      </c>
      <c r="G30" s="17">
        <v>612.82000000000005</v>
      </c>
      <c r="H30" s="17">
        <f t="shared" si="1"/>
        <v>4289.7400000000007</v>
      </c>
      <c r="I30" s="17">
        <f t="shared" si="2"/>
        <v>74941.757800000007</v>
      </c>
    </row>
    <row r="31" spans="1:9" x14ac:dyDescent="0.25">
      <c r="A31" s="7" t="s">
        <v>7</v>
      </c>
      <c r="B31" s="7" t="s">
        <v>8</v>
      </c>
      <c r="C31" s="7">
        <v>0</v>
      </c>
      <c r="D31" s="7">
        <v>10</v>
      </c>
      <c r="E31" s="7">
        <v>0</v>
      </c>
      <c r="F31" s="7">
        <f t="shared" si="0"/>
        <v>10</v>
      </c>
      <c r="G31" s="8">
        <v>421.81</v>
      </c>
      <c r="H31" s="8">
        <f t="shared" si="1"/>
        <v>4218.1000000000004</v>
      </c>
      <c r="I31" s="8">
        <f t="shared" si="2"/>
        <v>73690.206999999995</v>
      </c>
    </row>
    <row r="32" spans="1:9" x14ac:dyDescent="0.25">
      <c r="A32" s="16" t="s">
        <v>7</v>
      </c>
      <c r="B32" s="16" t="s">
        <v>8</v>
      </c>
      <c r="C32" s="16">
        <v>0</v>
      </c>
      <c r="D32" s="16">
        <v>10</v>
      </c>
      <c r="E32" s="16">
        <v>0</v>
      </c>
      <c r="F32" s="16">
        <f t="shared" si="0"/>
        <v>10</v>
      </c>
      <c r="G32" s="17">
        <v>421.81</v>
      </c>
      <c r="H32" s="17">
        <f t="shared" si="1"/>
        <v>4218.1000000000004</v>
      </c>
      <c r="I32" s="17">
        <f t="shared" si="2"/>
        <v>73690.206999999995</v>
      </c>
    </row>
    <row r="33" spans="1:10" x14ac:dyDescent="0.25">
      <c r="A33" s="16" t="s">
        <v>29</v>
      </c>
      <c r="B33" s="16" t="s">
        <v>30</v>
      </c>
      <c r="C33" s="16">
        <v>0</v>
      </c>
      <c r="D33" s="16">
        <v>15</v>
      </c>
      <c r="E33" s="16">
        <v>0</v>
      </c>
      <c r="F33" s="16">
        <f t="shared" ref="F33:F41" si="3">+(C33+D33)-E33</f>
        <v>15</v>
      </c>
      <c r="G33" s="17">
        <v>76.88</v>
      </c>
      <c r="H33" s="17">
        <f t="shared" ref="H33:H41" si="4">+F33*G33</f>
        <v>1153.1999999999998</v>
      </c>
      <c r="I33" s="17">
        <f t="shared" ref="I33:I41" si="5">+H33*$I$1</f>
        <v>20146.403999999995</v>
      </c>
    </row>
    <row r="34" spans="1:10" x14ac:dyDescent="0.25">
      <c r="A34" s="7" t="s">
        <v>13</v>
      </c>
      <c r="B34" s="7" t="s">
        <v>14</v>
      </c>
      <c r="C34" s="7">
        <v>0</v>
      </c>
      <c r="D34" s="7">
        <v>245</v>
      </c>
      <c r="E34" s="7">
        <v>0</v>
      </c>
      <c r="F34" s="7">
        <f t="shared" si="3"/>
        <v>245</v>
      </c>
      <c r="G34" s="8">
        <v>25.64</v>
      </c>
      <c r="H34" s="8">
        <f t="shared" si="4"/>
        <v>6281.8</v>
      </c>
      <c r="I34" s="8">
        <f t="shared" si="5"/>
        <v>109743.046</v>
      </c>
    </row>
    <row r="35" spans="1:10" x14ac:dyDescent="0.25">
      <c r="A35" s="5" t="s">
        <v>13</v>
      </c>
      <c r="B35" s="5" t="s">
        <v>14</v>
      </c>
      <c r="C35" s="5">
        <v>0</v>
      </c>
      <c r="D35" s="5">
        <v>245</v>
      </c>
      <c r="E35" s="5">
        <v>0</v>
      </c>
      <c r="F35" s="5">
        <f t="shared" si="3"/>
        <v>245</v>
      </c>
      <c r="G35" s="6">
        <v>25.64</v>
      </c>
      <c r="H35" s="6">
        <f t="shared" si="4"/>
        <v>6281.8</v>
      </c>
      <c r="I35" s="6">
        <f t="shared" si="5"/>
        <v>109743.046</v>
      </c>
    </row>
    <row r="36" spans="1:10" x14ac:dyDescent="0.25">
      <c r="A36" s="7" t="s">
        <v>13</v>
      </c>
      <c r="B36" s="7" t="s">
        <v>14</v>
      </c>
      <c r="C36" s="7">
        <v>0</v>
      </c>
      <c r="D36" s="7">
        <v>385</v>
      </c>
      <c r="E36" s="7">
        <v>0</v>
      </c>
      <c r="F36" s="7">
        <f t="shared" si="3"/>
        <v>385</v>
      </c>
      <c r="G36" s="8">
        <v>25.51</v>
      </c>
      <c r="H36" s="8">
        <f t="shared" si="4"/>
        <v>9821.35</v>
      </c>
      <c r="I36" s="8">
        <f t="shared" si="5"/>
        <v>171578.98449999999</v>
      </c>
    </row>
    <row r="37" spans="1:10" x14ac:dyDescent="0.25">
      <c r="A37" s="16" t="s">
        <v>13</v>
      </c>
      <c r="B37" s="16" t="s">
        <v>14</v>
      </c>
      <c r="C37" s="16">
        <v>0</v>
      </c>
      <c r="D37" s="16">
        <v>245</v>
      </c>
      <c r="E37" s="16">
        <v>0</v>
      </c>
      <c r="F37" s="16">
        <f t="shared" si="3"/>
        <v>245</v>
      </c>
      <c r="G37" s="17">
        <v>25.64</v>
      </c>
      <c r="H37" s="17">
        <f t="shared" si="4"/>
        <v>6281.8</v>
      </c>
      <c r="I37" s="17">
        <f t="shared" si="5"/>
        <v>109743.046</v>
      </c>
    </row>
    <row r="38" spans="1:10" x14ac:dyDescent="0.25">
      <c r="A38" s="7" t="s">
        <v>23</v>
      </c>
      <c r="B38" s="7" t="s">
        <v>24</v>
      </c>
      <c r="C38" s="7">
        <v>0</v>
      </c>
      <c r="D38" s="7">
        <v>300</v>
      </c>
      <c r="E38" s="7">
        <v>0</v>
      </c>
      <c r="F38" s="7">
        <f t="shared" si="3"/>
        <v>300</v>
      </c>
      <c r="G38" s="8">
        <v>2.19</v>
      </c>
      <c r="H38" s="8">
        <f t="shared" si="4"/>
        <v>657</v>
      </c>
      <c r="I38" s="8">
        <f t="shared" si="5"/>
        <v>11477.789999999999</v>
      </c>
    </row>
    <row r="39" spans="1:10" x14ac:dyDescent="0.25">
      <c r="A39" s="5" t="s">
        <v>23</v>
      </c>
      <c r="B39" s="5" t="s">
        <v>24</v>
      </c>
      <c r="C39" s="5">
        <v>0</v>
      </c>
      <c r="D39" s="5">
        <v>300</v>
      </c>
      <c r="E39" s="5">
        <v>0</v>
      </c>
      <c r="F39" s="5">
        <f t="shared" si="3"/>
        <v>300</v>
      </c>
      <c r="G39" s="6">
        <v>2.19</v>
      </c>
      <c r="H39" s="6">
        <f t="shared" si="4"/>
        <v>657</v>
      </c>
      <c r="I39" s="6">
        <f t="shared" si="5"/>
        <v>11477.789999999999</v>
      </c>
    </row>
    <row r="40" spans="1:10" x14ac:dyDescent="0.25">
      <c r="A40" s="7" t="s">
        <v>23</v>
      </c>
      <c r="B40" s="7" t="s">
        <v>24</v>
      </c>
      <c r="C40" s="7">
        <v>0</v>
      </c>
      <c r="D40" s="7">
        <v>50</v>
      </c>
      <c r="E40" s="7">
        <v>0</v>
      </c>
      <c r="F40" s="7">
        <f t="shared" si="3"/>
        <v>50</v>
      </c>
      <c r="G40" s="8">
        <v>2.19</v>
      </c>
      <c r="H40" s="8">
        <f t="shared" si="4"/>
        <v>109.5</v>
      </c>
      <c r="I40" s="8">
        <f t="shared" si="5"/>
        <v>1912.9649999999999</v>
      </c>
    </row>
    <row r="41" spans="1:10" x14ac:dyDescent="0.25">
      <c r="A41" s="16" t="s">
        <v>23</v>
      </c>
      <c r="B41" s="16" t="s">
        <v>24</v>
      </c>
      <c r="C41" s="16">
        <v>0</v>
      </c>
      <c r="D41" s="16">
        <v>300</v>
      </c>
      <c r="E41" s="16">
        <v>0</v>
      </c>
      <c r="F41" s="16">
        <f t="shared" si="3"/>
        <v>300</v>
      </c>
      <c r="G41" s="17">
        <v>2.19</v>
      </c>
      <c r="H41" s="17">
        <f t="shared" si="4"/>
        <v>657</v>
      </c>
      <c r="I41" s="17">
        <f t="shared" si="5"/>
        <v>11477.789999999999</v>
      </c>
    </row>
    <row r="42" spans="1:10" x14ac:dyDescent="0.25">
      <c r="G42" s="1"/>
      <c r="H42" s="1"/>
    </row>
    <row r="43" spans="1:10" ht="17.25" x14ac:dyDescent="0.4">
      <c r="G43" s="1"/>
      <c r="H43" s="10"/>
      <c r="I43" s="11"/>
    </row>
    <row r="44" spans="1:10" x14ac:dyDescent="0.25">
      <c r="G44" s="1"/>
      <c r="H44" s="1"/>
    </row>
    <row r="45" spans="1:10" x14ac:dyDescent="0.25">
      <c r="G45" s="13"/>
      <c r="H45" s="1"/>
      <c r="I45" s="14"/>
      <c r="J45" s="12"/>
    </row>
    <row r="46" spans="1:10" x14ac:dyDescent="0.25">
      <c r="G46" s="13"/>
      <c r="H46" s="1"/>
      <c r="I46" s="14"/>
      <c r="J46" s="12"/>
    </row>
    <row r="47" spans="1:10" x14ac:dyDescent="0.25">
      <c r="G47" s="13"/>
      <c r="H47" s="1"/>
      <c r="I47" s="14"/>
      <c r="J47" s="12"/>
    </row>
  </sheetData>
  <autoFilter ref="A2:I2" xr:uid="{1E356E7B-BF9E-4F99-A371-0BE475D278EE}">
    <sortState xmlns:xlrd2="http://schemas.microsoft.com/office/spreadsheetml/2017/richdata2" ref="A3:I55">
      <sortCondition ref="B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603B-65E1-4DEF-A53B-A252FE21CEE3}">
  <dimension ref="A2:K34"/>
  <sheetViews>
    <sheetView workbookViewId="0">
      <selection activeCell="O16" sqref="O16"/>
    </sheetView>
  </sheetViews>
  <sheetFormatPr defaultRowHeight="15" x14ac:dyDescent="0.25"/>
  <sheetData>
    <row r="2" spans="1:11" ht="15.75" thickBot="1" x14ac:dyDescent="0.3"/>
    <row r="3" spans="1:11" ht="45" x14ac:dyDescent="0.25">
      <c r="A3" s="18" t="s">
        <v>0</v>
      </c>
      <c r="B3" s="18" t="s">
        <v>1</v>
      </c>
      <c r="C3" s="18" t="s">
        <v>75</v>
      </c>
      <c r="D3" s="19" t="s">
        <v>2</v>
      </c>
      <c r="E3" s="18" t="s">
        <v>3</v>
      </c>
      <c r="F3" s="18" t="s">
        <v>4</v>
      </c>
      <c r="G3" s="20" t="s">
        <v>5</v>
      </c>
      <c r="H3" s="19" t="s">
        <v>76</v>
      </c>
      <c r="I3" s="19" t="s">
        <v>77</v>
      </c>
      <c r="J3" s="19" t="s">
        <v>78</v>
      </c>
      <c r="K3" s="21" t="s">
        <v>79</v>
      </c>
    </row>
    <row r="4" spans="1:11" x14ac:dyDescent="0.25">
      <c r="A4" t="s">
        <v>38</v>
      </c>
      <c r="B4" t="s">
        <v>39</v>
      </c>
      <c r="C4">
        <v>15000</v>
      </c>
      <c r="D4">
        <v>1</v>
      </c>
      <c r="E4">
        <v>0</v>
      </c>
      <c r="F4">
        <v>1</v>
      </c>
      <c r="G4">
        <v>0</v>
      </c>
      <c r="H4">
        <v>0.115</v>
      </c>
      <c r="I4">
        <v>1725</v>
      </c>
      <c r="J4">
        <v>0</v>
      </c>
      <c r="K4">
        <v>0</v>
      </c>
    </row>
    <row r="5" spans="1:11" x14ac:dyDescent="0.25">
      <c r="A5" t="s">
        <v>38</v>
      </c>
      <c r="B5" t="s">
        <v>40</v>
      </c>
      <c r="C5">
        <v>10000</v>
      </c>
      <c r="D5">
        <v>2</v>
      </c>
      <c r="E5">
        <v>5</v>
      </c>
      <c r="F5">
        <v>7</v>
      </c>
      <c r="G5">
        <v>0</v>
      </c>
      <c r="H5">
        <v>9.4E-2</v>
      </c>
      <c r="I5">
        <v>940</v>
      </c>
      <c r="J5">
        <v>0</v>
      </c>
      <c r="K5">
        <v>0</v>
      </c>
    </row>
    <row r="6" spans="1:11" x14ac:dyDescent="0.25">
      <c r="A6" t="s">
        <v>38</v>
      </c>
      <c r="B6" t="s">
        <v>41</v>
      </c>
      <c r="C6">
        <v>8000</v>
      </c>
      <c r="D6">
        <v>2</v>
      </c>
      <c r="E6">
        <v>3</v>
      </c>
      <c r="F6">
        <v>4</v>
      </c>
      <c r="G6">
        <v>1</v>
      </c>
      <c r="H6">
        <v>9.1874999999999998E-2</v>
      </c>
      <c r="I6">
        <v>735</v>
      </c>
      <c r="J6">
        <v>735</v>
      </c>
      <c r="K6">
        <v>15435</v>
      </c>
    </row>
    <row r="7" spans="1:11" x14ac:dyDescent="0.25">
      <c r="A7" t="s">
        <v>38</v>
      </c>
      <c r="B7" t="s">
        <v>42</v>
      </c>
      <c r="C7">
        <v>5000</v>
      </c>
      <c r="D7">
        <v>3</v>
      </c>
      <c r="E7">
        <v>8</v>
      </c>
      <c r="F7">
        <v>11</v>
      </c>
      <c r="G7">
        <v>0</v>
      </c>
      <c r="H7">
        <v>0.10100000000000001</v>
      </c>
      <c r="I7">
        <v>505</v>
      </c>
      <c r="J7">
        <v>0</v>
      </c>
      <c r="K7">
        <v>0</v>
      </c>
    </row>
    <row r="8" spans="1:11" x14ac:dyDescent="0.25">
      <c r="A8" t="s">
        <v>38</v>
      </c>
      <c r="B8" t="s">
        <v>43</v>
      </c>
      <c r="C8">
        <v>6000</v>
      </c>
      <c r="D8">
        <v>2</v>
      </c>
      <c r="E8">
        <v>9</v>
      </c>
      <c r="F8">
        <v>11</v>
      </c>
      <c r="G8">
        <v>0</v>
      </c>
      <c r="H8">
        <v>8.8333333333333333E-2</v>
      </c>
      <c r="I8">
        <v>530</v>
      </c>
      <c r="J8">
        <v>0</v>
      </c>
      <c r="K8">
        <v>0</v>
      </c>
    </row>
    <row r="9" spans="1:11" x14ac:dyDescent="0.25">
      <c r="A9" t="s">
        <v>38</v>
      </c>
      <c r="B9" t="s">
        <v>44</v>
      </c>
      <c r="C9">
        <v>3000</v>
      </c>
      <c r="D9">
        <v>2</v>
      </c>
      <c r="E9">
        <v>0</v>
      </c>
      <c r="F9">
        <v>1</v>
      </c>
      <c r="G9">
        <v>1</v>
      </c>
      <c r="H9">
        <v>0</v>
      </c>
      <c r="J9">
        <v>0</v>
      </c>
      <c r="K9">
        <v>0</v>
      </c>
    </row>
    <row r="10" spans="1:11" x14ac:dyDescent="0.25">
      <c r="A10" t="s">
        <v>38</v>
      </c>
      <c r="B10" t="s">
        <v>45</v>
      </c>
      <c r="C10">
        <v>2000</v>
      </c>
      <c r="D10">
        <v>1</v>
      </c>
      <c r="E10">
        <v>0</v>
      </c>
      <c r="F10">
        <v>0</v>
      </c>
      <c r="G10">
        <v>1</v>
      </c>
      <c r="H10">
        <v>0</v>
      </c>
      <c r="J10">
        <v>0</v>
      </c>
      <c r="K10">
        <v>0</v>
      </c>
    </row>
    <row r="11" spans="1:11" x14ac:dyDescent="0.25">
      <c r="A11" t="s">
        <v>38</v>
      </c>
      <c r="B11" t="s">
        <v>46</v>
      </c>
      <c r="C11">
        <v>3000</v>
      </c>
      <c r="D11">
        <v>1</v>
      </c>
      <c r="E11">
        <v>0</v>
      </c>
      <c r="F11">
        <v>0</v>
      </c>
      <c r="G11">
        <v>1</v>
      </c>
      <c r="H11">
        <v>0</v>
      </c>
      <c r="J11">
        <v>0</v>
      </c>
      <c r="K11">
        <v>0</v>
      </c>
    </row>
    <row r="12" spans="1:11" x14ac:dyDescent="0.25">
      <c r="A12" t="s">
        <v>47</v>
      </c>
      <c r="B12" t="s">
        <v>48</v>
      </c>
      <c r="C12">
        <v>8500</v>
      </c>
      <c r="D12">
        <v>1</v>
      </c>
      <c r="E12">
        <v>0</v>
      </c>
      <c r="F12">
        <v>0</v>
      </c>
      <c r="G12">
        <v>1</v>
      </c>
      <c r="H12">
        <v>0.10235294117647059</v>
      </c>
      <c r="I12">
        <v>870</v>
      </c>
      <c r="J12">
        <v>870</v>
      </c>
      <c r="K12">
        <v>18270</v>
      </c>
    </row>
    <row r="13" spans="1:11" x14ac:dyDescent="0.25">
      <c r="A13" t="s">
        <v>49</v>
      </c>
      <c r="B13" t="s">
        <v>66</v>
      </c>
      <c r="C13">
        <v>3000</v>
      </c>
      <c r="E13">
        <v>3</v>
      </c>
      <c r="F13">
        <v>3</v>
      </c>
      <c r="G13">
        <v>0</v>
      </c>
      <c r="H13">
        <v>0.125</v>
      </c>
      <c r="I13">
        <v>375</v>
      </c>
      <c r="J13">
        <v>0</v>
      </c>
      <c r="K13">
        <v>0</v>
      </c>
    </row>
    <row r="14" spans="1:11" x14ac:dyDescent="0.25">
      <c r="A14" t="s">
        <v>49</v>
      </c>
      <c r="B14" t="s">
        <v>67</v>
      </c>
      <c r="C14">
        <v>5000</v>
      </c>
      <c r="E14">
        <v>3</v>
      </c>
      <c r="F14">
        <v>3</v>
      </c>
      <c r="G14">
        <v>0</v>
      </c>
      <c r="H14">
        <v>0.10328</v>
      </c>
      <c r="I14">
        <v>516.4</v>
      </c>
      <c r="J14">
        <v>0</v>
      </c>
      <c r="K14">
        <v>0</v>
      </c>
    </row>
    <row r="15" spans="1:11" x14ac:dyDescent="0.25">
      <c r="A15" t="s">
        <v>49</v>
      </c>
      <c r="B15" t="s">
        <v>68</v>
      </c>
      <c r="C15">
        <v>7000</v>
      </c>
      <c r="E15">
        <v>3</v>
      </c>
      <c r="F15">
        <v>3</v>
      </c>
      <c r="G15">
        <v>0</v>
      </c>
      <c r="H15">
        <v>0.10933571428571429</v>
      </c>
      <c r="I15">
        <v>765.35</v>
      </c>
      <c r="J15">
        <v>0</v>
      </c>
      <c r="K15">
        <v>0</v>
      </c>
    </row>
    <row r="16" spans="1:11" x14ac:dyDescent="0.25">
      <c r="A16" t="s">
        <v>49</v>
      </c>
      <c r="B16" t="s">
        <v>69</v>
      </c>
      <c r="C16">
        <v>9000</v>
      </c>
      <c r="E16">
        <v>3</v>
      </c>
      <c r="F16">
        <v>1</v>
      </c>
      <c r="G16">
        <v>2</v>
      </c>
      <c r="H16">
        <v>9.2969999999999997E-2</v>
      </c>
      <c r="I16">
        <v>836.73</v>
      </c>
      <c r="J16">
        <v>1673.46</v>
      </c>
      <c r="K16">
        <v>35142.660000000003</v>
      </c>
    </row>
    <row r="17" spans="1:11" x14ac:dyDescent="0.25">
      <c r="A17" t="s">
        <v>50</v>
      </c>
      <c r="B17" t="s">
        <v>51</v>
      </c>
      <c r="C17">
        <v>2000</v>
      </c>
      <c r="E17">
        <v>16</v>
      </c>
      <c r="F17">
        <v>16</v>
      </c>
      <c r="G17">
        <v>0</v>
      </c>
      <c r="H17">
        <v>0</v>
      </c>
      <c r="J17">
        <v>0</v>
      </c>
      <c r="K17">
        <v>0</v>
      </c>
    </row>
    <row r="18" spans="1:11" x14ac:dyDescent="0.25">
      <c r="A18" t="s">
        <v>47</v>
      </c>
      <c r="B18" t="s">
        <v>52</v>
      </c>
      <c r="C18">
        <v>5000</v>
      </c>
      <c r="E18">
        <v>2</v>
      </c>
      <c r="F18">
        <v>2</v>
      </c>
      <c r="G18">
        <v>0</v>
      </c>
      <c r="H18">
        <v>0.13500000000000001</v>
      </c>
      <c r="I18">
        <v>675</v>
      </c>
      <c r="J18">
        <v>0</v>
      </c>
      <c r="K18">
        <v>0</v>
      </c>
    </row>
    <row r="19" spans="1:11" x14ac:dyDescent="0.25">
      <c r="A19" t="s">
        <v>47</v>
      </c>
      <c r="B19" t="s">
        <v>53</v>
      </c>
      <c r="C19">
        <v>6000</v>
      </c>
      <c r="E19">
        <v>6</v>
      </c>
      <c r="F19">
        <v>5</v>
      </c>
      <c r="G19">
        <v>1</v>
      </c>
      <c r="H19">
        <v>0.11749999999999999</v>
      </c>
      <c r="I19">
        <v>705</v>
      </c>
      <c r="J19">
        <v>705</v>
      </c>
      <c r="K19">
        <v>14805</v>
      </c>
    </row>
    <row r="20" spans="1:11" x14ac:dyDescent="0.25">
      <c r="A20" t="s">
        <v>47</v>
      </c>
      <c r="B20" t="s">
        <v>54</v>
      </c>
      <c r="C20">
        <v>7600</v>
      </c>
      <c r="E20">
        <v>5</v>
      </c>
      <c r="F20">
        <v>5</v>
      </c>
      <c r="G20">
        <v>0</v>
      </c>
      <c r="H20">
        <v>0.10421052631578948</v>
      </c>
      <c r="I20">
        <v>792</v>
      </c>
      <c r="J20">
        <v>0</v>
      </c>
      <c r="K20">
        <v>0</v>
      </c>
    </row>
    <row r="21" spans="1:11" x14ac:dyDescent="0.25">
      <c r="A21" t="s">
        <v>47</v>
      </c>
      <c r="B21" t="s">
        <v>55</v>
      </c>
      <c r="C21">
        <v>9600</v>
      </c>
      <c r="E21">
        <v>5</v>
      </c>
      <c r="F21">
        <v>5</v>
      </c>
      <c r="G21">
        <v>0</v>
      </c>
      <c r="H21">
        <v>9.3645833333333331E-2</v>
      </c>
      <c r="I21">
        <v>899</v>
      </c>
      <c r="J21">
        <v>0</v>
      </c>
      <c r="K21">
        <v>0</v>
      </c>
    </row>
    <row r="22" spans="1:11" x14ac:dyDescent="0.25">
      <c r="A22" t="s">
        <v>47</v>
      </c>
      <c r="B22" t="s">
        <v>56</v>
      </c>
      <c r="C22">
        <v>11400</v>
      </c>
      <c r="E22">
        <v>3</v>
      </c>
      <c r="F22">
        <v>1</v>
      </c>
      <c r="G22">
        <v>2</v>
      </c>
      <c r="H22">
        <v>8.7631578947368421E-2</v>
      </c>
      <c r="I22">
        <v>999</v>
      </c>
      <c r="J22">
        <v>1998</v>
      </c>
      <c r="K22">
        <v>41958</v>
      </c>
    </row>
    <row r="23" spans="1:11" x14ac:dyDescent="0.25">
      <c r="A23" t="s">
        <v>50</v>
      </c>
      <c r="B23" t="s">
        <v>57</v>
      </c>
      <c r="C23" t="s">
        <v>58</v>
      </c>
      <c r="E23">
        <v>256</v>
      </c>
      <c r="F23">
        <v>206</v>
      </c>
      <c r="G23">
        <v>50</v>
      </c>
      <c r="I23">
        <v>26.277028999999999</v>
      </c>
      <c r="J23">
        <v>1313.8514499999999</v>
      </c>
      <c r="K23">
        <v>27590.880449999997</v>
      </c>
    </row>
    <row r="24" spans="1:11" x14ac:dyDescent="0.25">
      <c r="A24" t="s">
        <v>50</v>
      </c>
      <c r="B24" t="s">
        <v>59</v>
      </c>
      <c r="C24">
        <v>1050</v>
      </c>
      <c r="E24">
        <v>76</v>
      </c>
      <c r="F24">
        <v>25</v>
      </c>
      <c r="G24">
        <v>51</v>
      </c>
      <c r="H24">
        <v>0.18349575238095236</v>
      </c>
      <c r="I24">
        <v>192.67053999999999</v>
      </c>
      <c r="J24">
        <v>9826.1975399999992</v>
      </c>
      <c r="K24">
        <v>206350.14833999999</v>
      </c>
    </row>
    <row r="25" spans="1:11" x14ac:dyDescent="0.25">
      <c r="A25" t="s">
        <v>50</v>
      </c>
      <c r="B25" t="s">
        <v>60</v>
      </c>
      <c r="C25" t="s">
        <v>61</v>
      </c>
      <c r="E25">
        <v>73</v>
      </c>
      <c r="F25">
        <v>54</v>
      </c>
      <c r="G25">
        <v>19</v>
      </c>
      <c r="I25">
        <v>141.16409999999999</v>
      </c>
      <c r="J25">
        <v>2682.1178999999997</v>
      </c>
      <c r="K25">
        <v>56324.475899999998</v>
      </c>
    </row>
    <row r="26" spans="1:11" x14ac:dyDescent="0.25">
      <c r="A26" t="s">
        <v>50</v>
      </c>
      <c r="B26" t="s">
        <v>62</v>
      </c>
      <c r="C26">
        <v>2000</v>
      </c>
      <c r="E26">
        <v>186</v>
      </c>
      <c r="F26">
        <v>184</v>
      </c>
      <c r="G26">
        <v>2</v>
      </c>
      <c r="H26">
        <v>0.12862200000000001</v>
      </c>
      <c r="I26">
        <v>257.24400000000003</v>
      </c>
      <c r="J26">
        <v>514.48800000000006</v>
      </c>
      <c r="K26">
        <v>10804.248000000001</v>
      </c>
    </row>
    <row r="27" spans="1:11" x14ac:dyDescent="0.25">
      <c r="A27" t="s">
        <v>50</v>
      </c>
      <c r="B27" t="s">
        <v>63</v>
      </c>
      <c r="C27" t="s">
        <v>58</v>
      </c>
      <c r="E27">
        <v>150</v>
      </c>
      <c r="F27">
        <v>82</v>
      </c>
      <c r="G27">
        <v>68</v>
      </c>
      <c r="I27">
        <v>5.7714999999999996</v>
      </c>
      <c r="J27">
        <v>392.46199999999999</v>
      </c>
      <c r="K27">
        <v>8241.7019999999993</v>
      </c>
    </row>
    <row r="28" spans="1:11" x14ac:dyDescent="0.25">
      <c r="A28" t="s">
        <v>38</v>
      </c>
      <c r="B28" t="s">
        <v>64</v>
      </c>
      <c r="C28">
        <v>30000</v>
      </c>
      <c r="E28">
        <v>3</v>
      </c>
      <c r="F28">
        <v>3</v>
      </c>
      <c r="G28">
        <v>0</v>
      </c>
      <c r="H28">
        <v>7.7854333333333331E-2</v>
      </c>
      <c r="I28">
        <v>2335.63</v>
      </c>
      <c r="J28">
        <v>0</v>
      </c>
      <c r="K28">
        <v>0</v>
      </c>
    </row>
    <row r="29" spans="1:11" x14ac:dyDescent="0.25">
      <c r="A29" t="s">
        <v>38</v>
      </c>
      <c r="B29" t="s">
        <v>65</v>
      </c>
      <c r="C29">
        <v>36000</v>
      </c>
      <c r="E29">
        <v>3</v>
      </c>
      <c r="F29">
        <v>3</v>
      </c>
      <c r="G29">
        <v>0</v>
      </c>
      <c r="H29">
        <v>8.606805555555555E-2</v>
      </c>
      <c r="I29">
        <v>3098.45</v>
      </c>
      <c r="J29">
        <v>0</v>
      </c>
      <c r="K29">
        <v>0</v>
      </c>
    </row>
    <row r="30" spans="1:11" x14ac:dyDescent="0.25">
      <c r="E30">
        <v>0</v>
      </c>
      <c r="F30">
        <v>0</v>
      </c>
      <c r="G30">
        <v>0</v>
      </c>
      <c r="J30">
        <v>0</v>
      </c>
      <c r="K30">
        <v>0</v>
      </c>
    </row>
    <row r="31" spans="1:11" x14ac:dyDescent="0.25">
      <c r="E31">
        <v>0</v>
      </c>
      <c r="F31">
        <v>0</v>
      </c>
      <c r="G31">
        <v>0</v>
      </c>
      <c r="J31">
        <v>0</v>
      </c>
      <c r="K31">
        <v>0</v>
      </c>
    </row>
    <row r="33" spans="1:10" x14ac:dyDescent="0.25">
      <c r="A33" t="s">
        <v>70</v>
      </c>
      <c r="B33" t="s">
        <v>71</v>
      </c>
      <c r="C33" t="s">
        <v>72</v>
      </c>
      <c r="D33">
        <v>2600</v>
      </c>
      <c r="E33">
        <v>0</v>
      </c>
      <c r="F33">
        <v>360</v>
      </c>
      <c r="G33">
        <v>2240</v>
      </c>
      <c r="I33">
        <v>0.89107611548556431</v>
      </c>
      <c r="J33">
        <v>1996.010498687664</v>
      </c>
    </row>
    <row r="34" spans="1:10" x14ac:dyDescent="0.25">
      <c r="A34" t="s">
        <v>73</v>
      </c>
      <c r="B34" t="s">
        <v>74</v>
      </c>
      <c r="C34" t="s">
        <v>72</v>
      </c>
      <c r="D34">
        <v>2000</v>
      </c>
      <c r="E34">
        <v>0</v>
      </c>
      <c r="F34">
        <v>0</v>
      </c>
      <c r="G34">
        <v>2000</v>
      </c>
      <c r="I34">
        <v>0.89107611548556431</v>
      </c>
      <c r="J34">
        <v>1782.1522309711286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PEDROZA</dc:creator>
  <cp:lastModifiedBy>Joaquin Corella Puente</cp:lastModifiedBy>
  <dcterms:created xsi:type="dcterms:W3CDTF">2026-01-23T21:36:07Z</dcterms:created>
  <dcterms:modified xsi:type="dcterms:W3CDTF">2026-05-06T19:26:42Z</dcterms:modified>
</cp:coreProperties>
</file>